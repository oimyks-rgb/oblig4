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keholders" sheetId="1" state="visible" r:id="rId3"/>
    <sheet name="User stories" sheetId="2" state="visible" r:id="rId4"/>
    <sheet name="Non-functional requirements" sheetId="3" state="visible" r:id="rId5"/>
    <sheet name="Conflicts and open questions" sheetId="4" state="visible" r:id="rId6"/>
    <sheet name="Audit trail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<sst xmlns="http://schemas.openxmlformats.org/spreadsheetml/2006/main" count="628" uniqueCount="497">
  <si>
    <t xml:space="preserve">Name</t>
  </si>
  <si>
    <t xml:space="preserve">Role</t>
  </si>
  <si>
    <t xml:space="preserve">Interest</t>
  </si>
  <si>
    <t xml:space="preserve">Influence</t>
  </si>
  <si>
    <t xml:space="preserve">Key concerns</t>
  </si>
  <si>
    <t xml:space="preserve">Source</t>
  </si>
  <si>
    <t xml:space="preserve">Ingrid Solheim</t>
  </si>
  <si>
    <t xml:space="preserve">Owner / daglig leder; product owner</t>
  </si>
  <si>
    <t xml:space="preserve">High</t>
  </si>
  <si>
    <t xml:space="preserve">Losing inquiries (est. 60 000 NOK in one December); self-service booking at any hour; kitchen order overview; 30 % deposit to stop no-shows; Vipps + invoice; keep Fiken; show food origin; 450 000 NOK budget; live by 2027-03-01</t>
  </si>
  <si>
    <t xml:space="preserve">01_interview_owner-ingrid_2026-08-14.txt; 00_minutes_kickoff-meeting_2026-08-12.txt; 00_constraints_budget-and-timeline_2026-09-27.txt</t>
  </si>
  <si>
    <t xml:space="preserve">Sunniva Berg</t>
  </si>
  <si>
    <t xml:space="preserve">Event coordinator (main daily user)</t>
  </si>
  <si>
    <t xml:space="preserve">Medium</t>
  </si>
  <si>
    <t xml:space="preserve">Reply time 1-2 days (up to 7 in Dec/May); overbooking (400 covers/day, 250 with served wedding dinner); forgotten updates to sheet and printout; 7-day reminders; corporate clients reject prepayment; allergies per guest group confirmed by kitchen</t>
  </si>
  <si>
    <t xml:space="preserve">01_interview_event-coordinator-sunniva_2026-08-15.txt; 02_process_as-is-order-handling_2026-08-15.md</t>
  </si>
  <si>
    <t xml:space="preserve">Mateo Rinaldi</t>
  </si>
  <si>
    <t xml:space="preserve">Head chef (kitchen user)</t>
  </si>
  <si>
    <t xml:space="preserve">One wall tablet per day view; portions per dish; allergies in red; PIN login; edits seasonal menus himself; ingredients linked to suppliers; 3-day prep list in kg; works when internet is down; fast pages</t>
  </si>
  <si>
    <t xml:space="preserve">01_interview_head-chef-mateo_2026-08-15.txt</t>
  </si>
  <si>
    <t xml:space="preserve">Henrik Aas (Fjordtek AS)</t>
  </si>
  <si>
    <t xml:space="preserve">Office manager at biggest corporate customer</t>
  </si>
  <si>
    <t xml:space="preserve">Company login; standing orders; copy last week's order; change guests until 10:00 day before; approval above 15 000 NOK; one monthly EHF invoice with cost-centre per line; no prepayment; data in EU/EEA; deletion of employees' names when leaving</t>
  </si>
  <si>
    <t xml:space="preserve">01_interview_corporate-customer-fjordtek_2026-08-19.txt; 01_interview_owner-ingrid_2026-08-14.txt</t>
  </si>
  <si>
    <t xml:space="preserve">Data-protection consultant</t>
  </si>
  <si>
    <t xml:space="preserve">External GDPR advisor</t>
  </si>
  <si>
    <t xml:space="preserve">Allergy data may be health data (art. 9) - store per guest group; 5-year bookkeeping retention, shorter for other data; access and deletion rights; data processing agreement with every cloud/SaaS provider</t>
  </si>
  <si>
    <t xml:space="preserve">01_note_gdpr-consultant_2026-08-20.txt</t>
  </si>
  <si>
    <t xml:space="preserve">Corporate customers (other firms)</t>
  </si>
  <si>
    <t xml:space="preserve">Order meeting lunches and events</t>
  </si>
  <si>
    <t xml:space="preserve">EHF invoices with PO number; several orderers with one invoice; standing orders; English menu with allergens; quotes for internal approval; accountant read-only access; exact delivery windows; ESG data; correct payment reminders</t>
  </si>
  <si>
    <t xml:space="preserve">01_export_customer-emails_2026-09-27.csv (E004, E007, E012, E015, E016, E018, E020, E021, E029, E030); 00_minutes_kickoff-meeting_2026-08-12.txt</t>
  </si>
  <si>
    <t xml:space="preserve">Private customers incl. wedding couples</t>
  </si>
  <si>
    <t xml:space="preserve">Order parties, confirmations, weddings</t>
  </si>
  <si>
    <t xml:space="preserve">Low</t>
  </si>
  <si>
    <t xml:space="preserve">See free dates and prices online; Vipps and e-mail receipt; deposit size; confirmation of order and allergies; change guests; cancellation terms; pick-up option; kids menu; phone ordering for people who do not use internet</t>
  </si>
  <si>
    <t xml:space="preserve">01_export_customer-emails_2026-09-27.csv (E001, E002, E003, E005, E009, E011, E013, E014, E022, E024, E027); 00_minutes_kickoff-meeting_2026-08-12.txt</t>
  </si>
  <si>
    <t xml:space="preserve">Driver</t>
  </si>
  <si>
    <t xml:space="preserve">Delivers orders</t>
  </si>
  <si>
    <t xml:space="preserve">Gets address from printout and uses own phone + Google Maps. ASSUMPTION: would want deliveries and addresses on phone - driver not interviewed</t>
  </si>
  <si>
    <t xml:space="preserve">02_process_as-is-order-handling_2026-08-15.md; 03_landscape_current-it-systems_2026-09-27.txt</t>
  </si>
  <si>
    <t xml:space="preserve">Student project team (3 developers)</t>
  </si>
  <si>
    <t xml:space="preserve">Builds the system in 2-week sprints</t>
  </si>
  <si>
    <t xml:space="preserve">Fixed deadline and budget; product owner only available Tuesdays 09-10; open build-vs-buy decision</t>
  </si>
  <si>
    <t xml:space="preserve">00_minutes_kickoff-meeting_2026-08-12.txt; 00_constraints_budget-and-timeline_2026-09-27.txt</t>
  </si>
  <si>
    <t xml:space="preserve">Suppliers (farms, fishers)</t>
  </si>
  <si>
    <t xml:space="preserve">Provide ingredients; origin shown on menus</t>
  </si>
  <si>
    <t xml:space="preserve">Linked to ingredients so origin can be shown; a farm asked to become a supplier (no system need stated)</t>
  </si>
  <si>
    <t xml:space="preserve">01_interview_head-chef-mateo_2026-08-15.txt; 01_export_customer-emails_2026-09-27.csv (E025)</t>
  </si>
  <si>
    <t xml:space="preserve">ID</t>
  </si>
  <si>
    <t xml:space="preserve">Epic</t>
  </si>
  <si>
    <t xml:space="preserve">User story</t>
  </si>
  <si>
    <t xml:space="preserve">Acceptance criteria (Given/When/Then)</t>
  </si>
  <si>
    <t xml:space="preserve">MoSCoW</t>
  </si>
  <si>
    <t xml:space="preserve">Rationale</t>
  </si>
  <si>
    <t xml:space="preserve">Source file(s)</t>
  </si>
  <si>
    <t xml:space="preserve">Supporting quote</t>
  </si>
  <si>
    <t xml:space="preserve">US-01</t>
  </si>
  <si>
    <t xml:space="preserve">EP1 Online menu &amp; booking</t>
  </si>
  <si>
    <t xml:space="preserve">As a customer I want to browse the current menus with price per person on the website so that I can choose without e-mailing and waiting for an answer</t>
  </si>
  <si>
    <t xml:space="preserve">AC1: Given a visitor on the website, When they open the menu page, Then every published menu is shown with dishes and price per person
AC2: Given the chef changes a price, When the visitor reloads the page, Then the new price is shown</t>
  </si>
  <si>
    <t xml:space="preserve">Must</t>
  </si>
  <si>
    <t xml:space="preserve">Owner names it as the first thing the system must do</t>
  </si>
  <si>
    <t xml:space="preserve">01_interview_owner-ingrid_2026-08-14.txt; 01_export_customer-emails_2026-09-27.csv (E001, E015)</t>
  </si>
  <si>
    <t xml:space="preserve">"Customers must be able to see our menus and prices" (Ingrid)</t>
  </si>
  <si>
    <t xml:space="preserve">US-02</t>
  </si>
  <si>
    <t xml:space="preserve">As a customer I want to send a booking request online at any hour (date, guests, menu, address, allergies) so that my request is registered and not lost in an inbox</t>
  </si>
  <si>
    <t xml:space="preserve">AC1: Given a visitor at any time of day, When they submit a complete booking form, Then the request is stored with a reference number
AC2: Given a required field is empty, When they submit, Then the form shows which field to fix and keeps what was typed
AC3: Given the request is stored, When the coordinator opens the order list, Then it appears with status 'New'</t>
  </si>
  <si>
    <t xml:space="preserve">Core problem: lost inquiries cost an estimated 60 000 NOK</t>
  </si>
  <si>
    <t xml:space="preserve">01_interview_owner-ingrid_2026-08-14.txt; 00_minutes_kickoff-meeting_2026-08-12.txt; 01_export_customer-emails_2026-09-27.csv (E006, E023)</t>
  </si>
  <si>
    <t xml:space="preserve">"send a booking request themselves, at any hour" (Ingrid)</t>
  </si>
  <si>
    <t xml:space="preserve">US-03</t>
  </si>
  <si>
    <t xml:space="preserve">As a customer I want an automatic e-mail when my request is received and when my order is confirmed so that I know whether my order is confirmed</t>
  </si>
  <si>
    <t xml:space="preserve">AC1: Given a request is submitted, When it is stored, Then an acknowledgement e-mail with the reference number is sent
AC2: Given the coordinator confirms the order, When the status changes to 'Confirmed', Then the customer gets an e-mail with the order details</t>
  </si>
  <si>
    <t xml:space="preserve">Missing or late confirmations cause repeat calls and lost customers</t>
  </si>
  <si>
    <t xml:space="preserve">01_interview_corporate-customer-fjordtek_2026-08-19.txt; 02_process_as-is-order-handling_2026-08-15.md (step 2); 01_export_customer-emails_2026-09-27.csv (E011)</t>
  </si>
  <si>
    <t xml:space="preserve">"We never got a confirmation e-mail." (E011)</t>
  </si>
  <si>
    <t xml:space="preserve">US-04</t>
  </si>
  <si>
    <t xml:space="preserve">As a customer I want to see which dates still have capacity before I book so that I only request dates that are possible</t>
  </si>
  <si>
    <t xml:space="preserve">AC1: Given a date where booked covers have reached capacity, When the customer opens the date picker, Then the date is shown as unavailable or 'on request'
AC2: Given a date with free capacity, When the customer picks it, Then the booking form can be completed</t>
  </si>
  <si>
    <t xml:space="preserve">Should</t>
  </si>
  <si>
    <t xml:space="preserve">Valuable, but the coordinator can check capacity manually at go-live</t>
  </si>
  <si>
    <t xml:space="preserve">01_export_customer-emails_2026-09-27.csv (E001, E005); 01_interview_event-coordinator-sunniva_2026-08-15.txt</t>
  </si>
  <si>
    <t xml:space="preserve">"Is it possible to see online which dates are free?" (E001)</t>
  </si>
  <si>
    <t xml:space="preserve">US-05</t>
  </si>
  <si>
    <t xml:space="preserve">As an international customer I want to use the menus and booking pages in English with allergens marked so that colleagues who do not read Norwegian can order safely</t>
  </si>
  <si>
    <t xml:space="preserve">AC1: Given the language is set to English, When the customer views a menu, Then dish names, descriptions and allergens are in English
AC2: Given the language is set to Norwegian, When the customer views the same menu, Then all text is in Norwegian</t>
  </si>
  <si>
    <t xml:space="preserve">Norwegian + English UI is a stated constraint</t>
  </si>
  <si>
    <t xml:space="preserve">03_landscape_current-it-systems_2026-09-27.txt; 01_export_customer-emails_2026-09-27.csv (E012)</t>
  </si>
  <si>
    <t xml:space="preserve">"Is your menu available in English with allergens marked?" (E012)</t>
  </si>
  <si>
    <t xml:space="preserve">US-06</t>
  </si>
  <si>
    <t xml:space="preserve">As a corporate customer I want to download a quote as PDF for my request so that I can get internal approval before ordering</t>
  </si>
  <si>
    <t xml:space="preserve">AC1: Given a filled-in request, When I click 'Download quote', Then a PDF with menu, guests and total price is generated
AC2: Given the coordinator adjusts the quote, When it is saved, Then the customer receives the updated PDF</t>
  </si>
  <si>
    <t xml:space="preserve">Replaces the Word quote (as-is step 4), but manual quotes can continue at go-live</t>
  </si>
  <si>
    <t xml:space="preserve">01_export_customer-emails_2026-09-27.csv (E015); 02_process_as-is-order-handling_2026-08-15.md (step 4)</t>
  </si>
  <si>
    <t xml:space="preserve">"We need a quote for a seminar lunch 80 people by Friday for internal approval." (E015)</t>
  </si>
  <si>
    <t xml:space="preserve">US-07</t>
  </si>
  <si>
    <t xml:space="preserve">As a private customer I want to choose pick-up instead of delivery so that I can collect the food myself</t>
  </si>
  <si>
    <t xml:space="preserve">AC1: Given the booking form, When I choose 'Pick-up', Then no delivery address is required and a pick-up time is asked for
AC2: Given a pick-up order, When the kitchen opens the day view, Then the order is marked 'Pick-up'</t>
  </si>
  <si>
    <t xml:space="preserve">Could</t>
  </si>
  <si>
    <t xml:space="preserve">Requested in one e-mail only</t>
  </si>
  <si>
    <t xml:space="preserve">01_export_customer-emails_2026-09-27.csv (E014)</t>
  </si>
  <si>
    <t xml:space="preserve">"Kan vi hente maten selv i stedet for levering?" (E014)</t>
  </si>
  <si>
    <t xml:space="preserve">US-08</t>
  </si>
  <si>
    <t xml:space="preserve">EP2 Order &amp; capacity management</t>
  </si>
  <si>
    <t xml:space="preserve">As an event coordinator I want all requests (web, e-mail, phone) in one order list with status so that no inquiry is lost or forgotten</t>
  </si>
  <si>
    <t xml:space="preserve">AC1: Given a new web request, When it is stored, Then it appears in the order list with status 'New'
AC2: Given a request has had status 'New' for more than 1 working day (ASSUMPTION: threshold), When the coordinator opens the list, Then it is highlighted
AC3: Given the order list, When the coordinator filters by status or event date, Then only matching orders are shown</t>
  </si>
  <si>
    <t xml:space="preserve">Replaces the e-mail + Excel flow that loses inquiries</t>
  </si>
  <si>
    <t xml:space="preserve">01_interview_owner-ingrid_2026-08-14.txt; 01_interview_event-coordinator-sunniva_2026-08-15.txt; 02_process_as-is-order-handling_2026-08-15.md (steps 1-5); 00_minutes_kickoff-meeting_2026-08-12.txt</t>
  </si>
  <si>
    <t xml:space="preserve">"We lose inquiries." (Ingrid)</t>
  </si>
  <si>
    <t xml:space="preserve">US-09</t>
  </si>
  <si>
    <t xml:space="preserve">As an event coordinator I want to register orders received by phone in the same system so that customers who do not use the internet can still order, and nothing stays on paper</t>
  </si>
  <si>
    <t xml:space="preserve">AC1: Given a phone call, When the coordinator enters the order, Then it is stored like a web order with channel 'Phone'
AC2: Given the order is stored, When it is confirmed, Then the kitchen and capacity views include it</t>
  </si>
  <si>
    <t xml:space="preserve">Phone orders exist today; without this they bypass the system</t>
  </si>
  <si>
    <t xml:space="preserve">02_process_as-is-order-handling_2026-08-15.md (step 1); 01_export_customer-emails_2026-09-27.csv (E024)</t>
  </si>
  <si>
    <t xml:space="preserve">"Kan jeg fortsatt bestille på telefon?" (E024)</t>
  </si>
  <si>
    <t xml:space="preserve">US-10</t>
  </si>
  <si>
    <t xml:space="preserve">As an event coordinator I want a calendar showing booked covers per day against capacity (400, or 250 with a served wedding dinner) so that I do not overbook the kitchen</t>
  </si>
  <si>
    <t xml:space="preserve">AC1: Given confirmed orders for a day, When I open the calendar, Then total covers and remaining capacity are shown per day
AC2: Given a served wedding dinner is booked that day, When capacity is calculated, Then the limit is 250 instead of 400
AC3: Given confirming an order would exceed capacity, When I press 'Confirm', Then a warning is shown and an explicit override is required</t>
  </si>
  <si>
    <t xml:space="preserve">Overbooking risk; wedding season starts right after go-live</t>
  </si>
  <si>
    <t xml:space="preserve">01_interview_event-coordinator-sunniva_2026-08-15.txt; 02_process_as-is-order-handling_2026-08-15.md (step 3)</t>
  </si>
  <si>
    <t xml:space="preserve">"A calendar that shows how many guests we already have per day, so I do not overbook." (Sunniva)</t>
  </si>
  <si>
    <t xml:space="preserve">US-11</t>
  </si>
  <si>
    <t xml:space="preserve">As a customer I want to change the number of guests and allergies online until the change deadline so that the kitchen always works from the latest numbers</t>
  </si>
  <si>
    <t xml:space="preserve">AC1: Given it is before the deadline (Fjordtek: 10:00 the day before; general policy see C03), When I change the guest count, Then the order and kitchen view update and I get a confirmation
AC2: Given it is after the deadline, When I try to change, Then the change is sent to the coordinator as a request to approve
AC3: Given an allergy is added, When it is saved, Then the kitchen must confirm it again (see US-27)</t>
  </si>
  <si>
    <t xml:space="preserve">Changes by phone/e-mail are forgotten today (as-is step 8)</t>
  </si>
  <si>
    <t xml:space="preserve">01_interview_corporate-customer-fjordtek_2026-08-19.txt; 01_interview_event-coordinator-sunniva_2026-08-15.txt; 02_process_as-is-order-handling_2026-08-15.md (step 8); 01_export_customer-emails_2026-09-27.csv (E003, E022)</t>
  </si>
  <si>
    <t xml:space="preserve">"change the number of people until 10:00 the day before" (Henrik Aas)</t>
  </si>
  <si>
    <t xml:space="preserve">US-12</t>
  </si>
  <si>
    <t xml:space="preserve">As an event coordinator I want customers to get an automatic reminder 7 days before the event to confirm final numbers so that numbers are right without me phoning everyone</t>
  </si>
  <si>
    <t xml:space="preserve">AC1: Given an event is 7 days away, When the daily job runs, Then the customer gets an e-mail with a link to confirm or change numbers
AC2: Given the customer confirms, When I open the order, Then it shows 'Numbers confirmed'
AC3: Given no reply within 2 days (ASSUMPTION: period), When the deadline passes, Then a follow-up task is created for me</t>
  </si>
  <si>
    <t xml:space="preserve">Saves time, but the coordinator can phone as today</t>
  </si>
  <si>
    <t xml:space="preserve">01_interview_event-coordinator-sunniva_2026-08-15.txt; 02_process_as-is-order-handling_2026-08-15.md (step 9)</t>
  </si>
  <si>
    <t xml:space="preserve">"automatic reminders to customers about final guest numbers seven days before the event" (Sunniva)</t>
  </si>
  <si>
    <t xml:space="preserve">US-13</t>
  </si>
  <si>
    <t xml:space="preserve">As a customer I want to cancel an order online and see the cancellation terms so that I know what cancelling costs</t>
  </si>
  <si>
    <t xml:space="preserve">AC1: Given a confirmed order, When I choose 'Cancel', Then the terms and any fee are shown before I confirm
AC2: Given I confirm the cancellation, When it is saved, Then the kitchen view and capacity calendar are updated</t>
  </si>
  <si>
    <t xml:space="preserve">Needed soon, but terms are not yet defined (see C08)</t>
  </si>
  <si>
    <t xml:space="preserve">01_export_customer-emails_2026-09-27.csv (E013)</t>
  </si>
  <si>
    <t xml:space="preserve">"What are your cancellation terms?" (E013)</t>
  </si>
  <si>
    <t xml:space="preserve">US-14</t>
  </si>
  <si>
    <t xml:space="preserve">As a corporate customer I want to request a delivery time window so that the food arrives before my meeting starts</t>
  </si>
  <si>
    <t xml:space="preserve">AC1: Given the booking form, When I enter a delivery window, Then it is shown on the order and on the delivery list
AC2: Given a window has been requested, When the coordinator confirms the order, Then the customer is told if the window is accepted</t>
  </si>
  <si>
    <t xml:space="preserve">Requested in one e-mail; delivery planning is manual today</t>
  </si>
  <si>
    <t xml:space="preserve">01_export_customer-emails_2026-09-27.csv (E018); 02_process_as-is-order-handling_2026-08-15.md (step 10)</t>
  </si>
  <si>
    <t xml:space="preserve">"Can you deliver between 10:45 and 11:00 exactly?" (E018)</t>
  </si>
  <si>
    <t xml:space="preserve">US-15</t>
  </si>
  <si>
    <t xml:space="preserve">As a driver I want to see today's deliveries with address, time and contact on my phone so that I do not depend on printouts (ASSUMPTION: driver not interviewed)</t>
  </si>
  <si>
    <t xml:space="preserve">AC1: Given orders with delivery today, When the driver opens the delivery list, Then they are sorted by time with the address as a map link
AC2: Given an order changes, When the driver refreshes, Then the latest address and time are shown</t>
  </si>
  <si>
    <t xml:space="preserve">ASSUMPTION derived from the as-is process; needs confirming with the driver</t>
  </si>
  <si>
    <t xml:space="preserve">02_process_as-is-order-handling_2026-08-15.md (step 10); 03_landscape_current-it-systems_2026-09-27.txt</t>
  </si>
  <si>
    <t xml:space="preserve">"Driver gets the address from the printout." (as-is)</t>
  </si>
  <si>
    <t xml:space="preserve">US-16</t>
  </si>
  <si>
    <t xml:space="preserve">EP3 Corporate accounts</t>
  </si>
  <si>
    <t xml:space="preserve">As a corporate customer admin I want a company account where several colleagues can log in and order so that the whole company orders on one account and one invoice</t>
  </si>
  <si>
    <t xml:space="preserve">AC1: Given I am the company admin, When I invite a colleague by e-mail, Then they can log in and order on the company account
AC2: Given several colleagues order in a month, When invoicing runs, Then all orders appear on the same monthly invoice</t>
  </si>
  <si>
    <t xml:space="preserve">Biggest customer requires it; weekly corporate lunches are core business</t>
  </si>
  <si>
    <t xml:space="preserve">01_interview_corporate-customer-fjordtek_2026-08-19.txt; 01_export_customer-emails_2026-09-27.csv (E016); 00_minutes_kickoff-meeting_2026-08-12.txt</t>
  </si>
  <si>
    <t xml:space="preserve">"Several of my colleagues should be able to order" (Henrik Aas)</t>
  </si>
  <si>
    <t xml:space="preserve">US-17</t>
  </si>
  <si>
    <t xml:space="preserve">As a corporate customer I want a standing order (e.g. lunch for 12 every Tuesday, 3 vegetarian) so that I do not have to e-mail every week</t>
  </si>
  <si>
    <t xml:space="preserve">AC1: Given a weekly standing order, When the period starts, Then each week's order is created automatically and shown in my order list
AC2: Given I change one week's order, When I save, Then only that week changes</t>
  </si>
  <si>
    <t xml:space="preserve">Strong wish from two corporate customers; one-off orders work without it</t>
  </si>
  <si>
    <t xml:space="preserve">01_interview_corporate-customer-fjordtek_2026-08-19.txt; 01_export_customer-emails_2026-09-27.csv (E007)</t>
  </si>
  <si>
    <t xml:space="preserve">"lunch for 12 every Tuesday, vegetarian option for 3" (E007)</t>
  </si>
  <si>
    <t xml:space="preserve">US-18</t>
  </si>
  <si>
    <t xml:space="preserve">As a returning customer I want to copy a previous order so that I can reorder quickly without remembering the details</t>
  </si>
  <si>
    <t xml:space="preserve">AC1: Given my order history, When I click 'Copy' on an order, Then a new draft is filled with the same menu, guests and diets
AC2: Given the draft, When I choose a new date, Then it can be submitted as a new request</t>
  </si>
  <si>
    <t xml:space="preserve">Cheap to build once order history exists</t>
  </si>
  <si>
    <t xml:space="preserve">01_interview_corporate-customer-fjordtek_2026-08-19.txt; 01_export_customer-emails_2026-09-27.csv (E028)</t>
  </si>
  <si>
    <t xml:space="preserve">"copy last week's order" (Henrik Aas)</t>
  </si>
  <si>
    <t xml:space="preserve">US-19</t>
  </si>
  <si>
    <t xml:space="preserve">As a corporate customer admin I want to approve orders above 15 000 NOK placed by colleagues so that I control spending</t>
  </si>
  <si>
    <t xml:space="preserve">AC1: Given a colleague places an order above 15 000 NOK, When it is submitted, Then it gets status 'Awaiting approval' and I am notified
AC2: Given I approve it, When I click 'Approve', Then it is sent to Ekte Mat; if I reject it, the colleague is notified</t>
  </si>
  <si>
    <t xml:space="preserve">Requested by one customer</t>
  </si>
  <si>
    <t xml:space="preserve">01_interview_corporate-customer-fjordtek_2026-08-19.txt</t>
  </si>
  <si>
    <t xml:space="preserve">"only I should approve anything above 15 000 NOK" (Henrik Aas)</t>
  </si>
  <si>
    <t xml:space="preserve">US-20</t>
  </si>
  <si>
    <t xml:space="preserve">As a customer's accountant I want read-only access to invoices and order history so that I can check accounts without asking anyone</t>
  </si>
  <si>
    <t xml:space="preserve">AC1: Given a user with the read-only role, When they log in, Then they can view and download invoices and orders
AC2: Given the read-only role, When they try to order or change anything, Then the action is not available</t>
  </si>
  <si>
    <t xml:space="preserve">Requested in one e-mail</t>
  </si>
  <si>
    <t xml:space="preserve">01_export_customer-emails_2026-09-27.csv (E029)</t>
  </si>
  <si>
    <t xml:space="preserve">"Can our accountant get read-only access to our invoices and order history?" (E029)</t>
  </si>
  <si>
    <t xml:space="preserve">US-21</t>
  </si>
  <si>
    <t xml:space="preserve">EP4 Payments &amp; invoicing</t>
  </si>
  <si>
    <t xml:space="preserve">As a private customer I want to pay with Vipps and get a receipt by e-mail so that paying is easy and I have proof of payment</t>
  </si>
  <si>
    <t xml:space="preserve">AC1: Given a private order, When I go to payment, Then I can pay with Vipps
AC2: Given the payment succeeds, When Vipps confirms it, Then I get a receipt by e-mail and the order shows 'Paid'</t>
  </si>
  <si>
    <t xml:space="preserve">Owner: Vipps for private customers "definitely"</t>
  </si>
  <si>
    <t xml:space="preserve">01_interview_owner-ingrid_2026-08-14.txt; 03_landscape_current-it-systems_2026-09-27.txt; 00_minutes_kickoff-meeting_2026-08-12.txt; 01_export_customer-emails_2026-09-27.csv (E009)</t>
  </si>
  <si>
    <t xml:space="preserve">"Vipps for private customers, definitely." (Ingrid)</t>
  </si>
  <si>
    <t xml:space="preserve">US-22</t>
  </si>
  <si>
    <t xml:space="preserve">As an owner I want the system to require a 30 % deposit on wedding bookings (scope beyond weddings: see C01) so that we get fewer no-shows</t>
  </si>
  <si>
    <t xml:space="preserve">AC1: Given a wedding booking, When the coordinator confirms it, Then a Vipps request for 30 % of the total is sent automatically
AC2: Given the deposit is unpaid after 7 days (ASSUMPTION: period), When the deadline passes, Then the coordinator is alerted and the booking is not final
AC3: Given a corporate account order, When it is confirmed, Then no deposit is requested</t>
  </si>
  <si>
    <t xml:space="preserve">Wedding season starts May 2027; deposits are forgotten today</t>
  </si>
  <si>
    <t xml:space="preserve">01_interview_owner-ingrid_2026-08-14.txt; 01_interview_event-coordinator-sunniva_2026-08-15.txt; 02_process_as-is-order-handling_2026-08-15.md (step 6); 01_export_customer-emails_2026-09-27.csv (E005)</t>
  </si>
  <si>
    <t xml:space="preserve">"take a 30 % deposit when someone books - no deposit, no booking" (Ingrid)</t>
  </si>
  <si>
    <t xml:space="preserve">US-23</t>
  </si>
  <si>
    <t xml:space="preserve">As a corporate customer I want one EHF invoice per month with all orders, and our cost-centre code or PO number on each line so that our finance department accepts it</t>
  </si>
  <si>
    <t xml:space="preserve">AC1: Given a company's delivered orders in a month, When the month closes, Then one EHF invoice is sent through Fiken
AC2: Given an order has a cost-centre code or PO number, When the invoice is made, Then it appears on that order's line
AC3: Given a corporate account, When it orders, Then no prepayment is requested</t>
  </si>
  <si>
    <t xml:space="preserve">Corporate invoices are rejected today; biggest customer cannot prepay</t>
  </si>
  <si>
    <t xml:space="preserve">01_interview_corporate-customer-fjordtek_2026-08-19.txt; 01_interview_event-coordinator-sunniva_2026-08-15.txt; 03_landscape_current-it-systems_2026-09-27.txt; 01_export_customer-emails_2026-09-27.csv (E004, E016)</t>
  </si>
  <si>
    <t xml:space="preserve">"One EHF invoice per month, with our cost-centre code on each line." (Henrik Aas)</t>
  </si>
  <si>
    <t xml:space="preserve">US-24</t>
  </si>
  <si>
    <t xml:space="preserve">As an event coordinator I want invoices to be created in Fiken automatically from completed orders so that I stop retyping orders and Fiken stays our accounting system</t>
  </si>
  <si>
    <t xml:space="preserve">AC1: Given an order is marked delivered, When invoicing runs, Then an invoice is created in Fiken via its API with the customer and order lines
AC2: Given the Fiken API call fails, When it fails, Then I see an error on the order and can retry</t>
  </si>
  <si>
    <t xml:space="preserve">Owner will not change from Fiken; manual invoicing is error-prone</t>
  </si>
  <si>
    <t xml:space="preserve">01_interview_owner-ingrid_2026-08-14.txt; 02_process_as-is-order-handling_2026-08-15.md (steps 11-12); 03_landscape_current-it-systems_2026-09-27.txt; 00_minutes_kickoff-meeting_2026-08-12.txt</t>
  </si>
  <si>
    <t xml:space="preserve">"We use Fiken for accounting today and I do not want to change that." (Ingrid)</t>
  </si>
  <si>
    <t xml:space="preserve">US-25</t>
  </si>
  <si>
    <t xml:space="preserve">As an owner I want payment status from Fiken and Vipps shown on each order so that we stop sending wrong reminders and doing monthly reconciliation by hand</t>
  </si>
  <si>
    <t xml:space="preserve">AC1: Given a payment is registered in Fiken or Vipps, When status is synced, Then the order shows 'Paid'
AC2: Given an order is 'Paid', When reminders are generated, Then no reminder is sent for it</t>
  </si>
  <si>
    <t xml:space="preserve">Reduces errors, but monthly manual reconciliation can continue at go-live</t>
  </si>
  <si>
    <t xml:space="preserve">02_process_as-is-order-handling_2026-08-15.md (step 12); 01_export_customer-emails_2026-09-27.csv (E030)</t>
  </si>
  <si>
    <t xml:space="preserve">"We received a payment reminder for an invoice we paid on 2 Sept." (E030)</t>
  </si>
  <si>
    <t xml:space="preserve">US-26</t>
  </si>
  <si>
    <t xml:space="preserve">EP5 Kitchen operations</t>
  </si>
  <si>
    <t xml:space="preserve">As a head chef I want one tablet screen per day showing orders, portions per dish and allergies in red so that I can plan the day at a glance</t>
  </si>
  <si>
    <t xml:space="preserve">AC1: Given today's confirmed orders, When I open the day view, Then each order and the total portions per dish are listed
AC2: Given an order has allergies or diets, When it is displayed, Then they are shown in red per guest group
AC3: Given a customer changes an order, When the change is saved, Then the day view shows it without a manual reload</t>
  </si>
  <si>
    <t xml:space="preserve">Owner wants a kitchen overview; replaces paper on the board</t>
  </si>
  <si>
    <t xml:space="preserve">01_interview_head-chef-mateo_2026-08-15.txt; 01_interview_owner-ingrid_2026-08-14.txt; 02_process_as-is-order-handling_2026-08-15.md (step 7)</t>
  </si>
  <si>
    <t xml:space="preserve">"For each day: which orders, how many portions of each dish, allergies in red." (Mateo)</t>
  </si>
  <si>
    <t xml:space="preserve">US-27</t>
  </si>
  <si>
    <t xml:space="preserve">As a kitchen staff I want to confirm on the screen that we have seen each order's allergies so that the coordinator and customer know the kitchen is informed</t>
  </si>
  <si>
    <t xml:space="preserve">AC1: Given an order with allergies, When the chef taps 'Seen', Then the time and user are stored
AC2: Given allergies are not confirmed by the day before the event (ASSUMPTION: deadline), When the deadline passes, Then the coordinator is alerted
AC3: Given the kitchen has confirmed, When the customer views the order, Then it shows 'Allergies confirmed by kitchen'</t>
  </si>
  <si>
    <t xml:space="preserve">Food safety - near-miss nut incident in 2024</t>
  </si>
  <si>
    <t xml:space="preserve">01_interview_event-coordinator-sunniva_2026-08-15.txt; 01_export_customer-emails_2026-09-27.csv (E002, E022)</t>
  </si>
  <si>
    <t xml:space="preserve">"the kitchen must confirm they have seen it" (Sunniva)</t>
  </si>
  <si>
    <t xml:space="preserve">US-28</t>
  </si>
  <si>
    <t xml:space="preserve">As a kitchen staff I want to log in on the kitchen tablet with a PIN so that I do not type long passwords with flour on my hands</t>
  </si>
  <si>
    <t xml:space="preserve">AC1: Given the kitchen tablet, When I enter a valid PIN, Then the kitchen view opens
AC2: Given a kitchen PIN, When logged in, Then only kitchen functions are available (no customer admin)</t>
  </si>
  <si>
    <t xml:space="preserve">Usability gain; must be balanced against health-data security (see C06)</t>
  </si>
  <si>
    <t xml:space="preserve">"a PIN is fine" (Mateo)</t>
  </si>
  <si>
    <t xml:space="preserve">US-29</t>
  </si>
  <si>
    <t xml:space="preserve">As a head chef I want a prep list with total kilos of each ingredient for the next three days so that we buy and prepare the right amounts</t>
  </si>
  <si>
    <t xml:space="preserve">AC1: Given confirmed orders and recipe quantities per portion, When I open the prep list, Then total kg per ingredient is shown per day for the next 3 days
AC2: Given an order changes, When I reopen the prep list, Then the totals are recalculated</t>
  </si>
  <si>
    <t xml:space="preserve">Needs recipe quantities per dish; kitchen manages without it today</t>
  </si>
  <si>
    <t xml:space="preserve">"total kilos of each ingredient for the next three days" (Mateo)</t>
  </si>
  <si>
    <t xml:space="preserve">US-30</t>
  </si>
  <si>
    <t xml:space="preserve">As a kitchen staff I want to still see today's orders when the internet is down so that the screen does not go blank in service</t>
  </si>
  <si>
    <t xml:space="preserve">AC1: Given the tablet loses connection, When I look at the screen, Then the last synced orders are still shown with 'Offline since hh:mm'
AC2: Given the connection returns, When it reconnects, Then changes are synced and the offline label disappears</t>
  </si>
  <si>
    <t xml:space="preserve">Chef: kitchen "must" still see orders; outages happened twice last winter</t>
  </si>
  <si>
    <t xml:space="preserve">"The kitchen must still see today's orders." (Mateo)</t>
  </si>
  <si>
    <t xml:space="preserve">US-31</t>
  </si>
  <si>
    <t xml:space="preserve">As an event coordinator I want to print the day's orders and single order sheets so that paper works as a fallback and on the kitchen board</t>
  </si>
  <si>
    <t xml:space="preserve">AC1: Given the day view, When I click 'Print', Then a printable sheet with orders, portions and allergies is produced
AC2: Given a single order, When I print it, Then the sheet shows delivery address and allergies per guest group</t>
  </si>
  <si>
    <t xml:space="preserve">Fallback for outages; current workflow already uses printouts</t>
  </si>
  <si>
    <t xml:space="preserve">01_interview_head-chef-mateo_2026-08-15.txt; 02_process_as-is-order-handling_2026-08-15.md (step 7)</t>
  </si>
  <si>
    <t xml:space="preserve">"Printing works too" (Mateo)</t>
  </si>
  <si>
    <t xml:space="preserve">US-32</t>
  </si>
  <si>
    <t xml:space="preserve">EP6 Menu &amp; food origin</t>
  </si>
  <si>
    <t xml:space="preserve">As a head chef I want to create and edit seasonal menus, dishes and prices myself so that menus can change four times a year without a developer</t>
  </si>
  <si>
    <t xml:space="preserve">AC1: Given the chef role, When I create or edit a dish, Then I can set name (NO/EN), description, price and allergens
AC2: Given a menu is published, When a customer opens the website, Then the new menu is shown
AC3: Given an old menu is archived, When existing orders are viewed, Then they keep the dishes and price they were booked with</t>
  </si>
  <si>
    <t xml:space="preserve">Menus must be online at go-live and nobody is technical in-house</t>
  </si>
  <si>
    <t xml:space="preserve">01_interview_head-chef-mateo_2026-08-15.txt; 03_landscape_current-it-systems_2026-09-27.txt</t>
  </si>
  <si>
    <t xml:space="preserve">"I want to edit the menu myself" (Mateo)</t>
  </si>
  <si>
    <t xml:space="preserve">US-33</t>
  </si>
  <si>
    <t xml:space="preserve">As a customer with allergies I want every dish to show its allergens and a clear gluten-free label so that I can choose food safely</t>
  </si>
  <si>
    <t xml:space="preserve">AC1: Given a dish, When the chef tries to publish it, Then allergens must be selected (or 'none' explicitly chosen)
AC2: Given a dish is gluten-free, When it is shown on the menu or a printed buffet label, Then it carries a 'Gluten-free' label</t>
  </si>
  <si>
    <t xml:space="preserve">Food safety; allergens must be visible before ordering</t>
  </si>
  <si>
    <t xml:space="preserve">01_export_customer-emails_2026-09-27.csv (E012, E019); 01_interview_event-coordinator-sunniva_2026-08-15.txt</t>
  </si>
  <si>
    <t xml:space="preserve">"Please label gluten-free items clearly on the buffet." (E019)</t>
  </si>
  <si>
    <t xml:space="preserve">US-34</t>
  </si>
  <si>
    <t xml:space="preserve">As a customer I want to see where the main ingredients come from (the farm, the boat) so that I trust that the food is local and honest</t>
  </si>
  <si>
    <t xml:space="preserve">AC1: Given an ingredient is linked to a supplier with origin, When the dish is shown, Then the origin is displayed
AC2: Given the chef role, When I edit an ingredient, Then I can link it to a supplier</t>
  </si>
  <si>
    <t xml:space="preserve">Core of the brand story, but orders can be taken without it</t>
  </si>
  <si>
    <t xml:space="preserve">01_interview_owner-ingrid_2026-08-14.txt; 01_interview_head-chef-mateo_2026-08-15.txt; 01_export_customer-emails_2026-09-27.csv (E008)</t>
  </si>
  <si>
    <t xml:space="preserve">"every menu to show where the lamb or the fish comes from - the farm, the boat" (Ingrid)</t>
  </si>
  <si>
    <t xml:space="preserve">US-35</t>
  </si>
  <si>
    <t xml:space="preserve">As a corporate customer I want to see the share of local ingredients per order so that I can use it in our ESG report</t>
  </si>
  <si>
    <t xml:space="preserve">AC1: Given ingredients are linked to suppliers with origin, When I view a delivered order, Then the share of local ingredients is shown
AC2: Given I need it for a report, When I export the order, Then the share is included</t>
  </si>
  <si>
    <t xml:space="preserve">Won't</t>
  </si>
  <si>
    <t xml:space="preserve">Not this release: one request, depends on US-34 data being in place first</t>
  </si>
  <si>
    <t xml:space="preserve">01_export_customer-emails_2026-09-27.csv (E021)</t>
  </si>
  <si>
    <t xml:space="preserve">"at least the share of local ingredients per order" (E021)</t>
  </si>
  <si>
    <t xml:space="preserve">US-36</t>
  </si>
  <si>
    <t xml:space="preserve">EP7 Privacy &amp; data protection</t>
  </si>
  <si>
    <t xml:space="preserve">As an owner (data controller) I want allergy and diet information to be stored per guest group, not per named guest so that we keep as little health data as possible</t>
  </si>
  <si>
    <t xml:space="preserve">AC1: Given the booking form, When a customer adds allergies, Then they enter a count and type (e.g. '2 guests: nut allergy') with no name field
AC2: Given an existing order, When the kitchen views it, Then allergies are shown per guest group</t>
  </si>
  <si>
    <t xml:space="preserve">Legal requirement (GDPR art. 9) and matches how the coordinator works</t>
  </si>
  <si>
    <t xml:space="preserve">01_note_gdpr-consultant_2026-08-20.txt; 01_interview_event-coordinator-sunniva_2026-08-15.txt</t>
  </si>
  <si>
    <t xml:space="preserve">"Store per guest group, not per named guest, unless strictly needed." (GDPR note)</t>
  </si>
  <si>
    <t xml:space="preserve">US-37</t>
  </si>
  <si>
    <t xml:space="preserve">As a customer I want to request a copy of the personal data you hold about me so that I can use my right of access</t>
  </si>
  <si>
    <t xml:space="preserve">AC1: Given I am logged in, When I request my data, Then a task is created for the coordinator and I get an acknowledgement
AC2: Given the request is handled, When it is completed, Then I receive an export of my customer and order data</t>
  </si>
  <si>
    <t xml:space="preserve">Legal requirement per GDPR note</t>
  </si>
  <si>
    <t xml:space="preserve">"Customers must be able to request access and deletion." (GDPR note)</t>
  </si>
  <si>
    <t xml:space="preserve">US-38</t>
  </si>
  <si>
    <t xml:space="preserve">As a customer I want to request deletion of my personal data so that my data is not kept longer than needed</t>
  </si>
  <si>
    <t xml:space="preserve">AC1: Given a deletion request, When it is processed, Then personal data not needed for bookkeeping is deleted or anonymised and I get a confirmation e-mail
AC2: Given orders still within the 5-year bookkeeping period, When deletion runs, Then the bookkeeping data is kept and marked for later deletion
AC3: Given a company leaves, When the company admin closes the account, Then employees' names are deleted</t>
  </si>
  <si>
    <t xml:space="preserve">Legal requirement; requests are already arriving (E010)</t>
  </si>
  <si>
    <t xml:space="preserve">01_note_gdpr-consultant_2026-08-20.txt; 01_interview_corporate-customer-fjordtek_2026-08-19.txt; 01_export_customer-emails_2026-09-27.csv (E010)</t>
  </si>
  <si>
    <t xml:space="preserve">"Please delete all personal data you have about me and confirm by e-mail." (E010)</t>
  </si>
  <si>
    <t xml:space="preserve">US-39</t>
  </si>
  <si>
    <t xml:space="preserve">As an owner I want automatic retention rules: order data kept 5 years, other personal data deleted sooner so that we comply without manual clean-up</t>
  </si>
  <si>
    <t xml:space="preserve">AC1: Given order data older than 5 years, When the retention job runs, Then it is deleted or anonymised
AC2: Given other personal data past its retention period (period not yet decided, see C05), When the job runs, Then it is deleted</t>
  </si>
  <si>
    <t xml:space="preserve">Legal, but no data hits a deadline right at go-live (ASSUMPTION); period must be decided first</t>
  </si>
  <si>
    <t xml:space="preserve">"other personal data should have a shorter retention period" (GDPR note)</t>
  </si>
  <si>
    <t xml:space="preserve">Quality characteristic</t>
  </si>
  <si>
    <t xml:space="preserve">Measurable requirement</t>
  </si>
  <si>
    <t xml:space="preserve">NFR-01</t>
  </si>
  <si>
    <t xml:space="preserve">Performance efficiency - time behaviour</t>
  </si>
  <si>
    <t xml:space="preserve">95 % of pages load in 2 seconds or less (ASSUMPTION: 2 s target; source only says 10 s was too slow)</t>
  </si>
  <si>
    <t xml:space="preserve">NFR-02</t>
  </si>
  <si>
    <t xml:space="preserve">Reliability - fault tolerance</t>
  </si>
  <si>
    <t xml:space="preserve">With the internet down, the kitchen tablet shows 100 % of today's orders synced before the outage, for at least 12 hours (ASSUMPTION: 12 h)</t>
  </si>
  <si>
    <t xml:space="preserve">NFR-03</t>
  </si>
  <si>
    <t xml:space="preserve">Security / compliance - data residency</t>
  </si>
  <si>
    <t xml:space="preserve">100 % of personal data is stored and processed in the EU/EEA (0 storage locations outside)</t>
  </si>
  <si>
    <t xml:space="preserve">01_interview_corporate-customer-fjordtek_2026-08-19.txt; 03_landscape_current-it-systems_2026-09-27.txt; 01_note_gdpr-consultant_2026-08-20.txt</t>
  </si>
  <si>
    <t xml:space="preserve">NFR-04</t>
  </si>
  <si>
    <t xml:space="preserve">Constraint - running cost</t>
  </si>
  <si>
    <t xml:space="preserve">Running costs (hosting, SaaS, licences) are below 3 000 NOK per month</t>
  </si>
  <si>
    <t xml:space="preserve">00_constraints_budget-and-timeline_2026-09-27.txt; 03_landscape_current-it-systems_2026-09-27.txt</t>
  </si>
  <si>
    <t xml:space="preserve">NFR-05</t>
  </si>
  <si>
    <t xml:space="preserve">Constraint - budget</t>
  </si>
  <si>
    <t xml:space="preserve">First version incl. 12 months of hosting costs no more than 450 000 NOK</t>
  </si>
  <si>
    <t xml:space="preserve">00_constraints_budget-and-timeline_2026-09-27.txt; 01_interview_owner-ingrid_2026-08-14.txt</t>
  </si>
  <si>
    <t xml:space="preserve">NFR-06</t>
  </si>
  <si>
    <t xml:space="preserve">Constraint - schedule</t>
  </si>
  <si>
    <t xml:space="preserve">Live in production by 2027-03-01 (stated as hard in the budget file; see C10)</t>
  </si>
  <si>
    <t xml:space="preserve">00_constraints_budget-and-timeline_2026-09-27.txt; 01_interview_owner-ingrid_2026-08-14.txt; 00_minutes_kickoff-meeting_2026-08-12.txt</t>
  </si>
  <si>
    <t xml:space="preserve">NFR-07</t>
  </si>
  <si>
    <t xml:space="preserve">Usability - localisation</t>
  </si>
  <si>
    <t xml:space="preserve">100 % of customer-facing texts and menus are available in Norwegian and English</t>
  </si>
  <si>
    <t xml:space="preserve">NFR-08</t>
  </si>
  <si>
    <t xml:space="preserve">Usability - operability</t>
  </si>
  <si>
    <t xml:space="preserve">Kitchen staff log in with a PIN of 4-6 digits in 5 seconds or less (ASSUMPTION: PIN length and time)</t>
  </si>
  <si>
    <t xml:space="preserve">NFR-09</t>
  </si>
  <si>
    <t xml:space="preserve">Functional suitability - responsiveness to customers</t>
  </si>
  <si>
    <t xml:space="preserve">100 % of booking requests get an automatic acknowledgement e-mail within 5 minutes (ASSUMPTION: 5 min; today replies take 1-7 days)</t>
  </si>
  <si>
    <t xml:space="preserve">01_interview_event-coordinator-sunniva_2026-08-15.txt; 02_process_as-is-order-handling_2026-08-15.md; 01_export_customer-emails_2026-09-27.csv (E006, E011)</t>
  </si>
  <si>
    <t xml:space="preserve">NFR-10</t>
  </si>
  <si>
    <t xml:space="preserve">Functional correctness - capacity rule</t>
  </si>
  <si>
    <t xml:space="preserve">0 orders are confirmed above 400 covers/day, or 250 covers/day with a served wedding dinner, without a recorded override</t>
  </si>
  <si>
    <t xml:space="preserve">01_interview_event-coordinator-sunniva_2026-08-15.txt</t>
  </si>
  <si>
    <t xml:space="preserve">NFR-11</t>
  </si>
  <si>
    <t xml:space="preserve">Compliance - retention</t>
  </si>
  <si>
    <t xml:space="preserve">Order data needed for bookkeeping is kept for 5 years; other personal data is deleted after a shorter period (not yet decided, see C05)</t>
  </si>
  <si>
    <t xml:space="preserve">NFR-12</t>
  </si>
  <si>
    <t xml:space="preserve">Compliance - data subject rights</t>
  </si>
  <si>
    <t xml:space="preserve">100 % of access and deletion requests are completed within 30 days (ASSUMPTION: from GDPR art. 12 one-month limit; not in source)</t>
  </si>
  <si>
    <t xml:space="preserve">01_note_gdpr-consultant_2026-08-20.txt; 01_export_customer-emails_2026-09-27.csv (E010)</t>
  </si>
  <si>
    <t xml:space="preserve">NFR-13</t>
  </si>
  <si>
    <t xml:space="preserve">Security - confidentiality</t>
  </si>
  <si>
    <t xml:space="preserve">100 % of allergy data is encrypted in transit and at rest and visible only to staff roles (ASSUMPTION: measures; source only classes it as health data)</t>
  </si>
  <si>
    <t xml:space="preserve">NFR-14</t>
  </si>
  <si>
    <t xml:space="preserve">Compliance - processors</t>
  </si>
  <si>
    <t xml:space="preserve">A data processing agreement is signed with 100 % of cloud/SaaS providers before go-live</t>
  </si>
  <si>
    <t xml:space="preserve">NFR-15</t>
  </si>
  <si>
    <t xml:space="preserve">Interoperability - invoicing</t>
  </si>
  <si>
    <t xml:space="preserve">100 % of corporate invoices are sent as EHF through Fiken, with 0 rejected for missing PO number or cost-centre code</t>
  </si>
  <si>
    <t xml:space="preserve">01_interview_corporate-customer-fjordtek_2026-08-19.txt; 03_landscape_current-it-systems_2026-09-27.txt; 01_export_customer-emails_2026-09-27.csv (E004)</t>
  </si>
  <si>
    <t xml:space="preserve">NFR-16</t>
  </si>
  <si>
    <t xml:space="preserve">Maintainability - modifiability</t>
  </si>
  <si>
    <t xml:space="preserve">The chef can publish a new seasonal menu without a developer, in 10 minutes or less per dish (ASSUMPTION: 10 min)</t>
  </si>
  <si>
    <t xml:space="preserve">NFR-17</t>
  </si>
  <si>
    <t xml:space="preserve">Performance efficiency - time behaviour at peak load</t>
  </si>
  <si>
    <t xml:space="preserve">On an event day with 15 confirmed orders and 1 000 covers, the kitchen day view and the capacity calendar load in 2 s or less for 95 % of requests. Data baseline: the busiest observed day (Fri 2025-12-26) had 14 orders and 934 covers. (2 s target from NFR-01, ASSUMPTION)</t>
  </si>
  <si>
    <t xml:space="preserve">04_report_orders-statistics_2026-10-20.md section 2; 04_viz_daily-covers-vs-capacity_2026-10-20.png; 01_interview_head-chef-mateo_2026-08-15.txt</t>
  </si>
  <si>
    <t xml:space="preserve">NFR-18</t>
  </si>
  <si>
    <t xml:space="preserve">Performance efficiency - capacity (volume)</t>
  </si>
  <si>
    <t xml:space="preserve">The system handles at least 140 orders and 9 000 covers per month, and 15 new booking requests per day, while still meeting NFR-01; verified by a load test before go-live. Data baseline: peak 66 requests received in one month (Nov 2024), 70 events / 4 308 covers in one month (Dec 2025), max 7 requests on one day. Headroom 2x covers about 2 years at the observed growth of +22 % orders / +25 % guests per year (ASSUMPTION: 2x factor)</t>
  </si>
  <si>
    <t xml:space="preserve">04_report_orders-statistics_2026-10-20.md sections 1 and 'What this means for the backlog'; 04_analysis_orders-statistics_2026-10-20.json</t>
  </si>
  <si>
    <t xml:space="preserve">NFR-19</t>
  </si>
  <si>
    <t xml:space="preserve">Reliability - availability on critical days</t>
  </si>
  <si>
    <t xml:space="preserve">Availability is 99.9 % or more between 06:00 and 22:00 on Fridays in November and December and on any event day with 300 or more booked covers; no planned maintenance on those days. Data: all 12 days over 400 covers in 2024-2025 were Fridays in Nov-Dec; p95 day = 286 covers. (ASSUMPTION: 99.9 % target and 300-cover trigger)</t>
  </si>
  <si>
    <t xml:space="preserve">04_report_orders-statistics_2026-10-20.md section 2; 04_viz_daily-covers-vs-capacity_2026-10-20.png</t>
  </si>
  <si>
    <t xml:space="preserve">NFR-20</t>
  </si>
  <si>
    <t xml:space="preserve">Functional suitability - responsiveness in peak months</t>
  </si>
  <si>
    <t xml:space="preserve">In peak months (May, Jun, Nov, Dec) the median time from first customer contact to the coordinator's first personal reply is 12 h or less, and 5 % or fewer of requests wait more than 48 h, measured monthly from the order log. Data baseline 2024-2025: peak median 27.1 h and 17.4 % over 48 h (off-peak 18.4 h and 7.4 %); difference +8.7 h, 95 % CI 5.9-11.3 h, Mann-Whitney p &lt; 0.001. (ASSUMPTION: 12 h and 5 % targets; complements NFR-09 automatic acknowledgement)</t>
  </si>
  <si>
    <t xml:space="preserve">04_report_orders-statistics_2026-10-20.md section 3; 04_viz_reply-time-peak-vs-offpeak_2026-10-20.png; 01_interview_event-coordinator-sunniva_2026-08-15.txt</t>
  </si>
  <si>
    <t xml:space="preserve">NFR-21</t>
  </si>
  <si>
    <t xml:space="preserve">Data quality - integrity</t>
  </si>
  <si>
    <t xml:space="preserve">0 stored orders break validation rules V01-V16, checked by a nightly job; any violation is reported to the coordinator the next morning. Data baseline: 45 of 820 rows (5.5 %) in the Excel export broke at least one rule (V01-V15), and 144 orders fell on 20 days over capacity (V16).</t>
  </si>
  <si>
    <t xml:space="preserve">04_report_orders-validation_2026-10-20.md; 04_ddl_validation-constraints_2026-10-20.sql</t>
  </si>
  <si>
    <t xml:space="preserve">NFR-22</t>
  </si>
  <si>
    <t xml:space="preserve">Data quality - migration accuracy</t>
  </si>
  <si>
    <t xml:space="preserve">Migration of the 2024-2025 history loads 100 % of the 815 unique orders (5 duplicates removed) with 0 rows rejected by the database rules, and the migrated data reconciles exactly with the cleaned export: 761 non-cancelled orders and 42 489 guests, 0 difference.</t>
  </si>
  <si>
    <t xml:space="preserve">04_profile_orders-2024-2025_2026-10-20.md; 04_report_orders-validation_2026-10-20.md; 04_report_orders-statistics_2026-10-20.md (cleaning step)</t>
  </si>
  <si>
    <t xml:space="preserve">Type</t>
  </si>
  <si>
    <t xml:space="preserve">Topic</t>
  </si>
  <si>
    <t xml:space="preserve">Position A (who / what)</t>
  </si>
  <si>
    <t xml:space="preserve">Position B (who / what)</t>
  </si>
  <si>
    <t xml:space="preserve">Sources</t>
  </si>
  <si>
    <t xml:space="preserve">Question for product owner</t>
  </si>
  <si>
    <t xml:space="preserve">C01</t>
  </si>
  <si>
    <t xml:space="preserve">Conflict</t>
  </si>
  <si>
    <t xml:space="preserve">Deposit / prepayment</t>
  </si>
  <si>
    <t xml:space="preserve">Ingrid: 30 % deposit on every booking - "no deposit, no booking"</t>
  </si>
  <si>
    <t xml:space="preserve">Sunniva: corporate clients hate prepayment, a deposit only for weddings. Henrik Aas: "We cannot prepay"</t>
  </si>
  <si>
    <t xml:space="preserve">01_interview_owner-ingrid_2026-08-14.txt; 01_interview_event-coordinator-sunniva_2026-08-15.txt; 01_interview_corporate-customer-fjordtek_2026-08-19.txt</t>
  </si>
  <si>
    <t xml:space="preserve">Does the 30 % deposit apply only to weddings, or to all private events too? Are corporate accounts always exempt?</t>
  </si>
  <si>
    <t xml:space="preserve">C02</t>
  </si>
  <si>
    <t xml:space="preserve">Invoice reference field</t>
  </si>
  <si>
    <t xml:space="preserve">Henrik Aas (Fjordtek): cost-centre code on each invoice line</t>
  </si>
  <si>
    <t xml:space="preserve">Corporate customer in E004: PO number required, or the invoice is rejected</t>
  </si>
  <si>
    <t xml:space="preserve">01_interview_corporate-customer-fjordtek_2026-08-19.txt; 01_export_customer-emails_2026-09-27.csv (E004)</t>
  </si>
  <si>
    <t xml:space="preserve">Should the invoice support both a PO number per invoice and a cost-centre code per line, set for each company account?</t>
  </si>
  <si>
    <t xml:space="preserve">C03</t>
  </si>
  <si>
    <t xml:space="preserve">Open question</t>
  </si>
  <si>
    <t xml:space="preserve">Change deadline for guests and allergies</t>
  </si>
  <si>
    <t xml:space="preserve">Henrik Aas: changes allowed until 10:00 the day before</t>
  </si>
  <si>
    <t xml:space="preserve">Customers send changes the same day (E022: allergy added "for tonight"); as-is: changes come any time by phone</t>
  </si>
  <si>
    <t xml:space="preserve">01_interview_corporate-customer-fjordtek_2026-08-19.txt; 01_export_customer-emails_2026-09-27.csv (E003, E022); 02_process_as-is-order-handling_2026-08-15.md</t>
  </si>
  <si>
    <t xml:space="preserve">What is the general change deadline? Can allergy changes still be made after it, and who approves them?</t>
  </si>
  <si>
    <t xml:space="preserve">C04</t>
  </si>
  <si>
    <t xml:space="preserve">Self-service vs phone ordering</t>
  </si>
  <si>
    <t xml:space="preserve">Ingrid: customers should book online themselves</t>
  </si>
  <si>
    <t xml:space="preserve">Elderly customer (E024) wants to keep ordering by phone; as-is phone orders are noted on paper</t>
  </si>
  <si>
    <t xml:space="preserve">01_interview_owner-ingrid_2026-08-14.txt; 01_export_customer-emails_2026-09-27.csv (E024); 02_process_as-is-order-handling_2026-08-15.md</t>
  </si>
  <si>
    <t xml:space="preserve">Will phone ordering stay after go-live, with the coordinator entering the order in the system?</t>
  </si>
  <si>
    <t xml:space="preserve">C05</t>
  </si>
  <si>
    <t xml:space="preserve">Data deletion vs bookkeeping retention</t>
  </si>
  <si>
    <t xml:space="preserve">GDPR note: keep bookkeeping data 5 years</t>
  </si>
  <si>
    <t xml:space="preserve">Fjordtek: delete employees' names when we stop being a customer; E010: delete "all personal data"</t>
  </si>
  <si>
    <t xml:space="preserve">Which data can we anonymise right away, which must stay 5 years? What is the shorter retention period for other data?</t>
  </si>
  <si>
    <t xml:space="preserve">C06</t>
  </si>
  <si>
    <t xml:space="preserve">Easy PIN login vs protecting health data</t>
  </si>
  <si>
    <t xml:space="preserve">Mateo: PIN login, no long passwords</t>
  </si>
  <si>
    <t xml:space="preserve">GDPR note: allergy data can be special-category health data</t>
  </si>
  <si>
    <t xml:space="preserve">01_interview_head-chef-mateo_2026-08-15.txt; 01_note_gdpr-consultant_2026-08-20.txt</t>
  </si>
  <si>
    <t xml:space="preserve">Is a PIN acceptable for a wall tablet showing allergy data, if the tablet only shows kitchen data and logs out automatically?</t>
  </si>
  <si>
    <t xml:space="preserve">C07</t>
  </si>
  <si>
    <t xml:space="preserve">Showing capacity to customers</t>
  </si>
  <si>
    <t xml:space="preserve">Customers want to see free dates online (E001, E005)</t>
  </si>
  <si>
    <t xml:space="preserve">Sunniva: capacity is "about" 400 or 250; today a gut-feeling check by the coordinator</t>
  </si>
  <si>
    <t xml:space="preserve">01_export_customer-emails_2026-09-27.csv (E001, E005); 01_interview_event-coordinator-sunniva_2026-08-15.txt; 02_process_as-is-order-handling_2026-08-15.md</t>
  </si>
  <si>
    <t xml:space="preserve">Are 400/250 hard limits? Should customers see free dates, or only 'on request'?</t>
  </si>
  <si>
    <t xml:space="preserve">C08</t>
  </si>
  <si>
    <t xml:space="preserve">Cancellation terms</t>
  </si>
  <si>
    <t xml:space="preserve">Customer asks for cancellation terms (E013)</t>
  </si>
  <si>
    <t xml:space="preserve">No source defines terms or fees</t>
  </si>
  <si>
    <t xml:space="preserve">What are the cancellation terms and fees per customer type, and is the wedding deposit refundable?</t>
  </si>
  <si>
    <t xml:space="preserve">C09</t>
  </si>
  <si>
    <t xml:space="preserve">Volume discounts and kids menu</t>
  </si>
  <si>
    <t xml:space="preserve">Customers ask for a discount above 150 guests (E020) and a children's menu (E027)</t>
  </si>
  <si>
    <t xml:space="preserve">No source mentions discounts or kids' prices</t>
  </si>
  <si>
    <t xml:space="preserve">01_export_customer-emails_2026-09-27.csv (E020, E027)</t>
  </si>
  <si>
    <t xml:space="preserve">Do we need price rules (volume discounts, child prices) in version 1, or are these handled manually?</t>
  </si>
  <si>
    <t xml:space="preserve">C10</t>
  </si>
  <si>
    <t xml:space="preserve">Go-live: soft or hard deadline</t>
  </si>
  <si>
    <t xml:space="preserve">Kick-off minutes: "Soft launch target: 1 March 2027"</t>
  </si>
  <si>
    <t xml:space="preserve">Budget file: "Go-live: 1 March 2027 (hard)"; Ingrid: "at the latest"</t>
  </si>
  <si>
    <t xml:space="preserve">00_minutes_kickoff-meeting_2026-08-12.txt; 00_constraints_budget-and-timeline_2026-09-27.txt; 01_interview_owner-ingrid_2026-08-14.txt</t>
  </si>
  <si>
    <t xml:space="preserve">Is 2027-03-01 a hard go-live for all Must stories, or a soft launch with a subset (e.g. weddings first)?</t>
  </si>
  <si>
    <t xml:space="preserve">C11</t>
  </si>
  <si>
    <t xml:space="preserve">Scope vs budget, team and timeline</t>
  </si>
  <si>
    <t xml:space="preserve">Stakeholders want 39 user stories (21 Must) incl. Fiken, Vipps, EHF and offline kitchen</t>
  </si>
  <si>
    <t xml:space="preserve">450 000 NOK, &lt; 3 000 NOK/month, 3 student developers, product owner 1 hour per week</t>
  </si>
  <si>
    <t xml:space="preserve">00_constraints_budget-and-timeline_2026-09-27.txt; 00_minutes_kickoff-meeting_2026-08-12.txt; 01_interview_owner-ingrid_2026-08-14.txt</t>
  </si>
  <si>
    <t xml:space="preserve">Which Must stories can move to Should if the team falls behind? Can the PO give more than 1 hour per week?</t>
  </si>
  <si>
    <t xml:space="preserve">C12</t>
  </si>
  <si>
    <t xml:space="preserve">Build vs off-the-shelf SaaS</t>
  </si>
  <si>
    <t xml:space="preserve">Kick-off minutes: build our own system?</t>
  </si>
  <si>
    <t xml:space="preserve">...or configure an off-the-shelf catering SaaS (needs EU data storage, DPA, &lt; 3 000 NOK/month)</t>
  </si>
  <si>
    <t xml:space="preserve">00_minutes_kickoff-meeting_2026-08-12.txt; 00_constraints_budget-and-timeline_2026-09-27.txt; 01_note_gdpr-consultant_2026-08-20.txt</t>
  </si>
  <si>
    <t xml:space="preserve">Should we compare 2-3 catering SaaS options against the Must list before building?</t>
  </si>
  <si>
    <t xml:space="preserve">C13</t>
  </si>
  <si>
    <t xml:space="preserve">Food origin vs ESG footprint</t>
  </si>
  <si>
    <t xml:space="preserve">Ingrid / Mateo: show origin (farm, boat) on menus</t>
  </si>
  <si>
    <t xml:space="preserve">Corporate customer (E021): CO2 footprint or share of local ingredients per order</t>
  </si>
  <si>
    <t xml:space="preserve">01_interview_owner-ingrid_2026-08-14.txt; 01_interview_head-chef-mateo_2026-08-15.txt; 01_export_customer-emails_2026-09-27.csv (E021)</t>
  </si>
  <si>
    <t xml:space="preserve">Is ESG data (local share, CO2) in scope at all, and if so after version 1?</t>
  </si>
  <si>
    <t xml:space="preserve">C14</t>
  </si>
  <si>
    <t xml:space="preserve">Delivery time windows</t>
  </si>
  <si>
    <t xml:space="preserve">Customer wants exact window 10:45-11:00 (E018)</t>
  </si>
  <si>
    <t xml:space="preserve">As-is: driver works from printouts, no route planning</t>
  </si>
  <si>
    <t xml:space="preserve">01_export_customer-emails_2026-09-27.csv (E018); 02_process_as-is-order-handling_2026-08-15.md</t>
  </si>
  <si>
    <t xml:space="preserve">Do we promise delivery windows, and how narrow? Should we interview the driver?</t>
  </si>
  <si>
    <t xml:space="preserve">File read</t>
  </si>
  <si>
    <t xml:space="preserve">Folder in EkteMat_repo</t>
  </si>
  <si>
    <t xml:space="preserve">User stories citing file</t>
  </si>
  <si>
    <t xml:space="preserve">NFRs citing file</t>
  </si>
  <si>
    <t xml:space="preserve">Stakeholders citing file</t>
  </si>
  <si>
    <t xml:space="preserve">01_interview_owner-ingrid_2026-08-14.txt</t>
  </si>
  <si>
    <t xml:space="preserve">01_Requirements/sources</t>
  </si>
  <si>
    <t xml:space="preserve">01_export_customer-emails_2026-09-27.csv</t>
  </si>
  <si>
    <t xml:space="preserve">00_minutes_kickoff-meeting_2026-08-12.txt</t>
  </si>
  <si>
    <t xml:space="preserve">00_Project_management</t>
  </si>
  <si>
    <t xml:space="preserve">00_constraints_budget-and-timeline_2026-09-27.txt</t>
  </si>
  <si>
    <t xml:space="preserve">02_process_as-is-order-handling_2026-08-15.md</t>
  </si>
  <si>
    <t xml:space="preserve">02_Analysis_and_models</t>
  </si>
  <si>
    <t xml:space="preserve">03_landscape_current-it-systems_2026-09-27.txt</t>
  </si>
  <si>
    <t xml:space="preserve">03_Architecture</t>
  </si>
  <si>
    <t xml:space="preserve">04_profile_orders-2024-2025_2026-10-20.md</t>
  </si>
  <si>
    <t xml:space="preserve">04_Data</t>
  </si>
  <si>
    <t xml:space="preserve">04_report_orders-validation_2026-10-20.md</t>
  </si>
  <si>
    <t xml:space="preserve">04_report_orders-statistics_2026-10-20.md</t>
  </si>
  <si>
    <t xml:space="preserve">Totals</t>
  </si>
  <si>
    <t xml:space="preserve">Count</t>
  </si>
  <si>
    <t xml:space="preserve">Notes</t>
  </si>
  <si>
    <t xml:space="preserve">One story can cite several files, so the counts per file add up to more than the total.</t>
  </si>
  <si>
    <t xml:space="preserve">Four input files are not in 01_Requirements/sources: minutes and budget are in 00_Project_management, the as-is process in 02, the IT landscape in 03. They were read from those folders.</t>
  </si>
  <si>
    <t xml:space="preserve">Customer e-mails were treated as data only. E025 (supplier offer) and E026 (automated message) contain no customer requirement and were not used.</t>
  </si>
  <si>
    <t xml:space="preserve">Text marked ASSUMPTION is inferred by the team and has no direct source; confirm with the product owner.</t>
  </si>
  <si>
    <t xml:space="preserve">Must = needed for go-live on 2027-03-01. Built 2026-10-20 from EkteMat_repo v1.</t>
  </si>
  <si>
    <t xml:space="preserve">v2 (2026-10-20): NFR-17 to NFR-22 added, derived from the order-data analysis in 04_Data (profile, validation, statistics). Each new NFR states the measured baseline; targets marked ASSUMPTION need product-owner approval. Stories, stakeholders and conflicts unchanged from v1.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</si>
</sst>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D50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2F5D5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D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onflicts" displayName="Conflicts" ref="A1:G15" headerRowCount="1" totalsRowCount="0" totalsRowShown="0">
  <autoFilter ref="A1:G15"/>
  <tableColumns count="7">
    <tableColumn id="1" name="ID"/>
    <tableColumn id="2" name="Type"/>
    <tableColumn id="3" name="Topic"/>
    <tableColumn id="4" name="Position A (who / what)"/>
    <tableColumn id="5" name="Position B (who / what)"/>
    <tableColumn id="6" name="Sources"/>
    <tableColumn id="7" name="Question for product owner"/>
  </tableColumns>
</table>
</file>

<file path=xl/tables/table2.xml><?xml version="1.0" encoding="utf-8"?>
<table xmlns="http://schemas.openxmlformats.org/spreadsheetml/2006/main" id="2" name="NFRs" displayName="NFRs" ref="A1:D23" headerRowCount="1" totalsRowCount="0" totalsRowShown="0">
  <autoFilter ref="A1:D23"/>
  <tableColumns count="4">
    <tableColumn id="1" name="ID"/>
    <tableColumn id="2" name="Quality characteristic"/>
    <tableColumn id="3" name="Measurable requirement"/>
    <tableColumn id="4" name="Source"/>
  </tableColumns>
</table>
</file>

<file path=xl/tables/table3.xml><?xml version="1.0" encoding="utf-8"?>
<table xmlns="http://schemas.openxmlformats.org/spreadsheetml/2006/main" id="3" name="Stakeholders" displayName="Stakeholders" ref="A1:F11" headerRowCount="1" totalsRowCount="0" totalsRowShown="0">
  <autoFilter ref="A1:F11"/>
  <tableColumns count="6">
    <tableColumn id="1" name="Name"/>
    <tableColumn id="2" name="Role"/>
    <tableColumn id="3" name="Interest"/>
    <tableColumn id="4" name="Influence"/>
    <tableColumn id="5" name="Key concerns"/>
    <tableColumn id="6" name="Source"/>
  </tableColumns>
</table>
</file>

<file path=xl/tables/table4.xml><?xml version="1.0" encoding="utf-8"?>
<table xmlns="http://schemas.openxmlformats.org/spreadsheetml/2006/main" id="4" name="UserStories" displayName="UserStories" ref="A1:H40" headerRowCount="1" totalsRowCount="0" totalsRowShown="0">
  <autoFilter ref="A1:H40"/>
  <tableColumns count="8">
    <tableColumn id="1" name="ID"/>
    <tableColumn id="2" name="Epic"/>
    <tableColumn id="3" name="User story"/>
    <tableColumn id="4" name="Acceptance criteria (Given/When/Then)"/>
    <tableColumn id="5" name="MoSCoW"/>
    <tableColumn id="6" name="Rationale"/>
    <tableColumn id="7" name="Source file(s)"/>
    <tableColumn id="8" name="Supporting quo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0"/>
    <col collapsed="false" customWidth="true" hidden="false" outlineLevel="0" max="4" min="3" style="1" width="10"/>
    <col collapsed="false" customWidth="true" hidden="false" outlineLevel="0" max="5" min="5" style="1" width="80"/>
    <col collapsed="false" customWidth="true" hidden="false" outlineLevel="0" max="6" min="6" style="1" width="45"/>
  </cols>
  <sheetData>
    <row r="1" customFormat="false" ht="26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34.5" hidden="false" customHeight="true" outlineLevel="0" collapsed="false">
      <c r="A2" s="3" t="s">
        <v>6</v>
      </c>
      <c r="B2" s="3" t="s">
        <v>7</v>
      </c>
      <c r="C2" s="3" t="s">
        <v>8</v>
      </c>
      <c r="D2" s="3" t="s">
        <v>8</v>
      </c>
      <c r="E2" s="3" t="s">
        <v>9</v>
      </c>
      <c r="F2" s="3" t="s">
        <v>10</v>
      </c>
    </row>
    <row r="3" customFormat="false" ht="34.5" hidden="false" customHeight="true" outlineLevel="0" collapsed="false">
      <c r="A3" s="3" t="s">
        <v>11</v>
      </c>
      <c r="B3" s="3" t="s">
        <v>12</v>
      </c>
      <c r="C3" s="3" t="s">
        <v>8</v>
      </c>
      <c r="D3" s="3" t="s">
        <v>13</v>
      </c>
      <c r="E3" s="3" t="s">
        <v>14</v>
      </c>
      <c r="F3" s="3" t="s">
        <v>15</v>
      </c>
    </row>
    <row r="4" customFormat="false" ht="34.5" hidden="false" customHeight="true" outlineLevel="0" collapsed="false">
      <c r="A4" s="3" t="s">
        <v>16</v>
      </c>
      <c r="B4" s="3" t="s">
        <v>17</v>
      </c>
      <c r="C4" s="3" t="s">
        <v>8</v>
      </c>
      <c r="D4" s="3" t="s">
        <v>13</v>
      </c>
      <c r="E4" s="3" t="s">
        <v>18</v>
      </c>
      <c r="F4" s="3" t="s">
        <v>19</v>
      </c>
    </row>
    <row r="5" customFormat="false" ht="34.5" hidden="false" customHeight="true" outlineLevel="0" collapsed="false">
      <c r="A5" s="3" t="s">
        <v>20</v>
      </c>
      <c r="B5" s="3" t="s">
        <v>21</v>
      </c>
      <c r="C5" s="3" t="s">
        <v>8</v>
      </c>
      <c r="D5" s="3" t="s">
        <v>13</v>
      </c>
      <c r="E5" s="3" t="s">
        <v>22</v>
      </c>
      <c r="F5" s="3" t="s">
        <v>23</v>
      </c>
    </row>
    <row r="6" customFormat="false" ht="34.5" hidden="false" customHeight="true" outlineLevel="0" collapsed="false">
      <c r="A6" s="3" t="s">
        <v>24</v>
      </c>
      <c r="B6" s="3" t="s">
        <v>25</v>
      </c>
      <c r="C6" s="3" t="s">
        <v>13</v>
      </c>
      <c r="D6" s="3" t="s">
        <v>8</v>
      </c>
      <c r="E6" s="3" t="s">
        <v>26</v>
      </c>
      <c r="F6" s="3" t="s">
        <v>27</v>
      </c>
    </row>
    <row r="7" customFormat="false" ht="34.5" hidden="false" customHeight="true" outlineLevel="0" collapsed="false">
      <c r="A7" s="3" t="s">
        <v>28</v>
      </c>
      <c r="B7" s="3" t="s">
        <v>29</v>
      </c>
      <c r="C7" s="3" t="s">
        <v>8</v>
      </c>
      <c r="D7" s="3" t="s">
        <v>13</v>
      </c>
      <c r="E7" s="3" t="s">
        <v>30</v>
      </c>
      <c r="F7" s="3" t="s">
        <v>31</v>
      </c>
    </row>
    <row r="8" customFormat="false" ht="45.75" hidden="false" customHeight="true" outlineLevel="0" collapsed="false">
      <c r="A8" s="3" t="s">
        <v>32</v>
      </c>
      <c r="B8" s="3" t="s">
        <v>33</v>
      </c>
      <c r="C8" s="3" t="s">
        <v>8</v>
      </c>
      <c r="D8" s="3" t="s">
        <v>34</v>
      </c>
      <c r="E8" s="3" t="s">
        <v>35</v>
      </c>
      <c r="F8" s="3" t="s">
        <v>36</v>
      </c>
    </row>
    <row r="9" customFormat="false" ht="23.25" hidden="false" customHeight="true" outlineLevel="0" collapsed="false">
      <c r="A9" s="3" t="s">
        <v>37</v>
      </c>
      <c r="B9" s="3" t="s">
        <v>38</v>
      </c>
      <c r="C9" s="3" t="s">
        <v>13</v>
      </c>
      <c r="D9" s="3" t="s">
        <v>34</v>
      </c>
      <c r="E9" s="3" t="s">
        <v>39</v>
      </c>
      <c r="F9" s="3" t="s">
        <v>40</v>
      </c>
    </row>
    <row r="10" customFormat="false" ht="23.25" hidden="false" customHeight="true" outlineLevel="0" collapsed="false">
      <c r="A10" s="3" t="s">
        <v>41</v>
      </c>
      <c r="B10" s="3" t="s">
        <v>42</v>
      </c>
      <c r="C10" s="3" t="s">
        <v>8</v>
      </c>
      <c r="D10" s="3" t="s">
        <v>13</v>
      </c>
      <c r="E10" s="3" t="s">
        <v>43</v>
      </c>
      <c r="F10" s="3" t="s">
        <v>44</v>
      </c>
    </row>
    <row r="11" customFormat="false" ht="23.25" hidden="false" customHeight="true" outlineLevel="0" collapsed="false">
      <c r="A11" s="3" t="s">
        <v>45</v>
      </c>
      <c r="B11" s="3" t="s">
        <v>46</v>
      </c>
      <c r="C11" s="3" t="s">
        <v>34</v>
      </c>
      <c r="D11" s="3" t="s">
        <v>34</v>
      </c>
      <c r="E11" s="3" t="s">
        <v>47</v>
      </c>
      <c r="F11" s="3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2"/>
    <col collapsed="false" customWidth="true" hidden="false" outlineLevel="0" max="3" min="3" style="1" width="48"/>
    <col collapsed="false" customWidth="true" hidden="false" outlineLevel="0" max="4" min="4" style="1" width="70"/>
    <col collapsed="false" customWidth="true" hidden="false" outlineLevel="0" max="5" min="5" style="1" width="9"/>
    <col collapsed="false" customWidth="true" hidden="false" outlineLevel="0" max="6" min="6" style="1" width="36"/>
    <col collapsed="false" customWidth="true" hidden="false" outlineLevel="0" max="7" min="7" style="1" width="40"/>
    <col collapsed="false" customWidth="true" hidden="false" outlineLevel="0" max="8" min="8" style="1" width="42"/>
  </cols>
  <sheetData>
    <row r="1" customFormat="false" ht="26.25" hidden="false" customHeight="true" outlineLevel="0" collapsed="false">
      <c r="A1" s="2" t="s">
        <v>49</v>
      </c>
      <c r="B1" s="2" t="s">
        <v>50</v>
      </c>
      <c r="C1" s="2" t="s">
        <v>51</v>
      </c>
      <c r="D1" s="2" t="s">
        <v>52</v>
      </c>
      <c r="E1" s="2" t="s">
        <v>53</v>
      </c>
      <c r="F1" s="2" t="s">
        <v>54</v>
      </c>
      <c r="G1" s="2" t="s">
        <v>55</v>
      </c>
      <c r="H1" s="2" t="s">
        <v>56</v>
      </c>
    </row>
    <row r="2" customFormat="false" ht="45.75" hidden="false" customHeight="true" outlineLevel="0" collapsed="false">
      <c r="A2" s="3" t="s">
        <v>57</v>
      </c>
      <c r="B2" s="3" t="s">
        <v>58</v>
      </c>
      <c r="C2" s="3" t="s">
        <v>59</v>
      </c>
      <c r="D2" s="3" t="s">
        <v>60</v>
      </c>
      <c r="E2" s="3" t="s">
        <v>61</v>
      </c>
      <c r="F2" s="3" t="s">
        <v>62</v>
      </c>
      <c r="G2" s="3" t="s">
        <v>63</v>
      </c>
      <c r="H2" s="3" t="s">
        <v>64</v>
      </c>
    </row>
    <row r="3" customFormat="false" ht="68.25" hidden="false" customHeight="true" outlineLevel="0" collapsed="false">
      <c r="A3" s="3" t="s">
        <v>65</v>
      </c>
      <c r="B3" s="3" t="s">
        <v>58</v>
      </c>
      <c r="C3" s="3" t="s">
        <v>66</v>
      </c>
      <c r="D3" s="3" t="s">
        <v>67</v>
      </c>
      <c r="E3" s="3" t="s">
        <v>61</v>
      </c>
      <c r="F3" s="3" t="s">
        <v>68</v>
      </c>
      <c r="G3" s="3" t="s">
        <v>69</v>
      </c>
      <c r="H3" s="3" t="s">
        <v>70</v>
      </c>
    </row>
    <row r="4" customFormat="false" ht="57" hidden="false" customHeight="true" outlineLevel="0" collapsed="false">
      <c r="A4" s="3" t="s">
        <v>71</v>
      </c>
      <c r="B4" s="3" t="s">
        <v>58</v>
      </c>
      <c r="C4" s="3" t="s">
        <v>72</v>
      </c>
      <c r="D4" s="3" t="s">
        <v>73</v>
      </c>
      <c r="E4" s="3" t="s">
        <v>61</v>
      </c>
      <c r="F4" s="3" t="s">
        <v>74</v>
      </c>
      <c r="G4" s="3" t="s">
        <v>75</v>
      </c>
      <c r="H4" s="3" t="s">
        <v>76</v>
      </c>
    </row>
    <row r="5" customFormat="false" ht="45.75" hidden="false" customHeight="true" outlineLevel="0" collapsed="false">
      <c r="A5" s="3" t="s">
        <v>77</v>
      </c>
      <c r="B5" s="3" t="s">
        <v>58</v>
      </c>
      <c r="C5" s="3" t="s">
        <v>78</v>
      </c>
      <c r="D5" s="3" t="s">
        <v>79</v>
      </c>
      <c r="E5" s="3" t="s">
        <v>80</v>
      </c>
      <c r="F5" s="3" t="s">
        <v>81</v>
      </c>
      <c r="G5" s="3" t="s">
        <v>82</v>
      </c>
      <c r="H5" s="3" t="s">
        <v>83</v>
      </c>
    </row>
    <row r="6" customFormat="false" ht="45.75" hidden="false" customHeight="true" outlineLevel="0" collapsed="false">
      <c r="A6" s="3" t="s">
        <v>84</v>
      </c>
      <c r="B6" s="3" t="s">
        <v>58</v>
      </c>
      <c r="C6" s="3" t="s">
        <v>85</v>
      </c>
      <c r="D6" s="3" t="s">
        <v>86</v>
      </c>
      <c r="E6" s="3" t="s">
        <v>61</v>
      </c>
      <c r="F6" s="3" t="s">
        <v>87</v>
      </c>
      <c r="G6" s="3" t="s">
        <v>88</v>
      </c>
      <c r="H6" s="3" t="s">
        <v>89</v>
      </c>
    </row>
    <row r="7" customFormat="false" ht="45.75" hidden="false" customHeight="true" outlineLevel="0" collapsed="false">
      <c r="A7" s="3" t="s">
        <v>90</v>
      </c>
      <c r="B7" s="3" t="s">
        <v>58</v>
      </c>
      <c r="C7" s="3" t="s">
        <v>91</v>
      </c>
      <c r="D7" s="3" t="s">
        <v>92</v>
      </c>
      <c r="E7" s="3" t="s">
        <v>80</v>
      </c>
      <c r="F7" s="3" t="s">
        <v>93</v>
      </c>
      <c r="G7" s="3" t="s">
        <v>94</v>
      </c>
      <c r="H7" s="3" t="s">
        <v>95</v>
      </c>
    </row>
    <row r="8" customFormat="false" ht="45.75" hidden="false" customHeight="true" outlineLevel="0" collapsed="false">
      <c r="A8" s="3" t="s">
        <v>96</v>
      </c>
      <c r="B8" s="3" t="s">
        <v>58</v>
      </c>
      <c r="C8" s="3" t="s">
        <v>97</v>
      </c>
      <c r="D8" s="3" t="s">
        <v>98</v>
      </c>
      <c r="E8" s="3" t="s">
        <v>99</v>
      </c>
      <c r="F8" s="3" t="s">
        <v>100</v>
      </c>
      <c r="G8" s="3" t="s">
        <v>101</v>
      </c>
      <c r="H8" s="3" t="s">
        <v>102</v>
      </c>
    </row>
    <row r="9" customFormat="false" ht="68.25" hidden="false" customHeight="true" outlineLevel="0" collapsed="false">
      <c r="A9" s="3" t="s">
        <v>103</v>
      </c>
      <c r="B9" s="3" t="s">
        <v>104</v>
      </c>
      <c r="C9" s="3" t="s">
        <v>105</v>
      </c>
      <c r="D9" s="3" t="s">
        <v>106</v>
      </c>
      <c r="E9" s="3" t="s">
        <v>61</v>
      </c>
      <c r="F9" s="3" t="s">
        <v>107</v>
      </c>
      <c r="G9" s="3" t="s">
        <v>108</v>
      </c>
      <c r="H9" s="3" t="s">
        <v>109</v>
      </c>
    </row>
    <row r="10" customFormat="false" ht="45.75" hidden="false" customHeight="true" outlineLevel="0" collapsed="false">
      <c r="A10" s="3" t="s">
        <v>110</v>
      </c>
      <c r="B10" s="3" t="s">
        <v>104</v>
      </c>
      <c r="C10" s="3" t="s">
        <v>111</v>
      </c>
      <c r="D10" s="3" t="s">
        <v>112</v>
      </c>
      <c r="E10" s="3" t="s">
        <v>61</v>
      </c>
      <c r="F10" s="3" t="s">
        <v>113</v>
      </c>
      <c r="G10" s="3" t="s">
        <v>114</v>
      </c>
      <c r="H10" s="3" t="s">
        <v>115</v>
      </c>
    </row>
    <row r="11" customFormat="false" ht="68.25" hidden="false" customHeight="true" outlineLevel="0" collapsed="false">
      <c r="A11" s="3" t="s">
        <v>116</v>
      </c>
      <c r="B11" s="3" t="s">
        <v>104</v>
      </c>
      <c r="C11" s="3" t="s">
        <v>117</v>
      </c>
      <c r="D11" s="3" t="s">
        <v>118</v>
      </c>
      <c r="E11" s="3" t="s">
        <v>61</v>
      </c>
      <c r="F11" s="3" t="s">
        <v>119</v>
      </c>
      <c r="G11" s="3" t="s">
        <v>120</v>
      </c>
      <c r="H11" s="3" t="s">
        <v>121</v>
      </c>
    </row>
    <row r="12" customFormat="false" ht="79.5" hidden="false" customHeight="true" outlineLevel="0" collapsed="false">
      <c r="A12" s="3" t="s">
        <v>122</v>
      </c>
      <c r="B12" s="3" t="s">
        <v>104</v>
      </c>
      <c r="C12" s="3" t="s">
        <v>123</v>
      </c>
      <c r="D12" s="3" t="s">
        <v>124</v>
      </c>
      <c r="E12" s="3" t="s">
        <v>61</v>
      </c>
      <c r="F12" s="3" t="s">
        <v>125</v>
      </c>
      <c r="G12" s="3" t="s">
        <v>126</v>
      </c>
      <c r="H12" s="3" t="s">
        <v>127</v>
      </c>
    </row>
    <row r="13" customFormat="false" ht="68.25" hidden="false" customHeight="true" outlineLevel="0" collapsed="false">
      <c r="A13" s="3" t="s">
        <v>128</v>
      </c>
      <c r="B13" s="3" t="s">
        <v>104</v>
      </c>
      <c r="C13" s="3" t="s">
        <v>129</v>
      </c>
      <c r="D13" s="3" t="s">
        <v>130</v>
      </c>
      <c r="E13" s="3" t="s">
        <v>80</v>
      </c>
      <c r="F13" s="3" t="s">
        <v>131</v>
      </c>
      <c r="G13" s="3" t="s">
        <v>132</v>
      </c>
      <c r="H13" s="3" t="s">
        <v>133</v>
      </c>
    </row>
    <row r="14" customFormat="false" ht="45.75" hidden="false" customHeight="true" outlineLevel="0" collapsed="false">
      <c r="A14" s="3" t="s">
        <v>134</v>
      </c>
      <c r="B14" s="3" t="s">
        <v>104</v>
      </c>
      <c r="C14" s="3" t="s">
        <v>135</v>
      </c>
      <c r="D14" s="3" t="s">
        <v>136</v>
      </c>
      <c r="E14" s="3" t="s">
        <v>80</v>
      </c>
      <c r="F14" s="3" t="s">
        <v>137</v>
      </c>
      <c r="G14" s="3" t="s">
        <v>138</v>
      </c>
      <c r="H14" s="3" t="s">
        <v>139</v>
      </c>
    </row>
    <row r="15" customFormat="false" ht="45.75" hidden="false" customHeight="true" outlineLevel="0" collapsed="false">
      <c r="A15" s="3" t="s">
        <v>140</v>
      </c>
      <c r="B15" s="3" t="s">
        <v>104</v>
      </c>
      <c r="C15" s="3" t="s">
        <v>141</v>
      </c>
      <c r="D15" s="3" t="s">
        <v>142</v>
      </c>
      <c r="E15" s="3" t="s">
        <v>99</v>
      </c>
      <c r="F15" s="3" t="s">
        <v>143</v>
      </c>
      <c r="G15" s="3" t="s">
        <v>144</v>
      </c>
      <c r="H15" s="3" t="s">
        <v>145</v>
      </c>
    </row>
    <row r="16" customFormat="false" ht="45.75" hidden="false" customHeight="true" outlineLevel="0" collapsed="false">
      <c r="A16" s="3" t="s">
        <v>146</v>
      </c>
      <c r="B16" s="3" t="s">
        <v>104</v>
      </c>
      <c r="C16" s="3" t="s">
        <v>147</v>
      </c>
      <c r="D16" s="3" t="s">
        <v>148</v>
      </c>
      <c r="E16" s="3" t="s">
        <v>99</v>
      </c>
      <c r="F16" s="3" t="s">
        <v>149</v>
      </c>
      <c r="G16" s="3" t="s">
        <v>150</v>
      </c>
      <c r="H16" s="3" t="s">
        <v>151</v>
      </c>
    </row>
    <row r="17" customFormat="false" ht="45.75" hidden="false" customHeight="true" outlineLevel="0" collapsed="false">
      <c r="A17" s="3" t="s">
        <v>152</v>
      </c>
      <c r="B17" s="3" t="s">
        <v>153</v>
      </c>
      <c r="C17" s="3" t="s">
        <v>154</v>
      </c>
      <c r="D17" s="3" t="s">
        <v>155</v>
      </c>
      <c r="E17" s="3" t="s">
        <v>61</v>
      </c>
      <c r="F17" s="3" t="s">
        <v>156</v>
      </c>
      <c r="G17" s="3" t="s">
        <v>157</v>
      </c>
      <c r="H17" s="3" t="s">
        <v>158</v>
      </c>
    </row>
    <row r="18" customFormat="false" ht="34.5" hidden="false" customHeight="true" outlineLevel="0" collapsed="false">
      <c r="A18" s="3" t="s">
        <v>159</v>
      </c>
      <c r="B18" s="3" t="s">
        <v>153</v>
      </c>
      <c r="C18" s="3" t="s">
        <v>160</v>
      </c>
      <c r="D18" s="3" t="s">
        <v>161</v>
      </c>
      <c r="E18" s="3" t="s">
        <v>80</v>
      </c>
      <c r="F18" s="3" t="s">
        <v>162</v>
      </c>
      <c r="G18" s="3" t="s">
        <v>163</v>
      </c>
      <c r="H18" s="3" t="s">
        <v>164</v>
      </c>
    </row>
    <row r="19" customFormat="false" ht="45.75" hidden="false" customHeight="true" outlineLevel="0" collapsed="false">
      <c r="A19" s="3" t="s">
        <v>165</v>
      </c>
      <c r="B19" s="3" t="s">
        <v>153</v>
      </c>
      <c r="C19" s="3" t="s">
        <v>166</v>
      </c>
      <c r="D19" s="3" t="s">
        <v>167</v>
      </c>
      <c r="E19" s="3" t="s">
        <v>80</v>
      </c>
      <c r="F19" s="3" t="s">
        <v>168</v>
      </c>
      <c r="G19" s="3" t="s">
        <v>169</v>
      </c>
      <c r="H19" s="3" t="s">
        <v>170</v>
      </c>
    </row>
    <row r="20" customFormat="false" ht="45.75" hidden="false" customHeight="true" outlineLevel="0" collapsed="false">
      <c r="A20" s="3" t="s">
        <v>171</v>
      </c>
      <c r="B20" s="3" t="s">
        <v>153</v>
      </c>
      <c r="C20" s="3" t="s">
        <v>172</v>
      </c>
      <c r="D20" s="3" t="s">
        <v>173</v>
      </c>
      <c r="E20" s="3" t="s">
        <v>99</v>
      </c>
      <c r="F20" s="3" t="s">
        <v>174</v>
      </c>
      <c r="G20" s="3" t="s">
        <v>175</v>
      </c>
      <c r="H20" s="3" t="s">
        <v>176</v>
      </c>
    </row>
    <row r="21" customFormat="false" ht="45.75" hidden="false" customHeight="true" outlineLevel="0" collapsed="false">
      <c r="A21" s="3" t="s">
        <v>177</v>
      </c>
      <c r="B21" s="3" t="s">
        <v>153</v>
      </c>
      <c r="C21" s="3" t="s">
        <v>178</v>
      </c>
      <c r="D21" s="3" t="s">
        <v>179</v>
      </c>
      <c r="E21" s="3" t="s">
        <v>99</v>
      </c>
      <c r="F21" s="3" t="s">
        <v>180</v>
      </c>
      <c r="G21" s="3" t="s">
        <v>181</v>
      </c>
      <c r="H21" s="3" t="s">
        <v>182</v>
      </c>
    </row>
    <row r="22" customFormat="false" ht="57" hidden="false" customHeight="true" outlineLevel="0" collapsed="false">
      <c r="A22" s="3" t="s">
        <v>183</v>
      </c>
      <c r="B22" s="3" t="s">
        <v>184</v>
      </c>
      <c r="C22" s="3" t="s">
        <v>185</v>
      </c>
      <c r="D22" s="3" t="s">
        <v>186</v>
      </c>
      <c r="E22" s="3" t="s">
        <v>61</v>
      </c>
      <c r="F22" s="3" t="s">
        <v>187</v>
      </c>
      <c r="G22" s="3" t="s">
        <v>188</v>
      </c>
      <c r="H22" s="3" t="s">
        <v>189</v>
      </c>
    </row>
    <row r="23" customFormat="false" ht="68.25" hidden="false" customHeight="true" outlineLevel="0" collapsed="false">
      <c r="A23" s="3" t="s">
        <v>190</v>
      </c>
      <c r="B23" s="3" t="s">
        <v>184</v>
      </c>
      <c r="C23" s="3" t="s">
        <v>191</v>
      </c>
      <c r="D23" s="3" t="s">
        <v>192</v>
      </c>
      <c r="E23" s="3" t="s">
        <v>61</v>
      </c>
      <c r="F23" s="3" t="s">
        <v>193</v>
      </c>
      <c r="G23" s="3" t="s">
        <v>194</v>
      </c>
      <c r="H23" s="3" t="s">
        <v>195</v>
      </c>
    </row>
    <row r="24" customFormat="false" ht="57" hidden="false" customHeight="true" outlineLevel="0" collapsed="false">
      <c r="A24" s="3" t="s">
        <v>196</v>
      </c>
      <c r="B24" s="3" t="s">
        <v>184</v>
      </c>
      <c r="C24" s="3" t="s">
        <v>197</v>
      </c>
      <c r="D24" s="3" t="s">
        <v>198</v>
      </c>
      <c r="E24" s="3" t="s">
        <v>61</v>
      </c>
      <c r="F24" s="3" t="s">
        <v>199</v>
      </c>
      <c r="G24" s="3" t="s">
        <v>200</v>
      </c>
      <c r="H24" s="3" t="s">
        <v>201</v>
      </c>
    </row>
    <row r="25" customFormat="false" ht="57" hidden="false" customHeight="true" outlineLevel="0" collapsed="false">
      <c r="A25" s="3" t="s">
        <v>202</v>
      </c>
      <c r="B25" s="3" t="s">
        <v>184</v>
      </c>
      <c r="C25" s="3" t="s">
        <v>203</v>
      </c>
      <c r="D25" s="3" t="s">
        <v>204</v>
      </c>
      <c r="E25" s="3" t="s">
        <v>61</v>
      </c>
      <c r="F25" s="3" t="s">
        <v>205</v>
      </c>
      <c r="G25" s="3" t="s">
        <v>206</v>
      </c>
      <c r="H25" s="3" t="s">
        <v>207</v>
      </c>
    </row>
    <row r="26" customFormat="false" ht="45.75" hidden="false" customHeight="true" outlineLevel="0" collapsed="false">
      <c r="A26" s="3" t="s">
        <v>208</v>
      </c>
      <c r="B26" s="3" t="s">
        <v>184</v>
      </c>
      <c r="C26" s="3" t="s">
        <v>209</v>
      </c>
      <c r="D26" s="3" t="s">
        <v>210</v>
      </c>
      <c r="E26" s="3" t="s">
        <v>80</v>
      </c>
      <c r="F26" s="3" t="s">
        <v>211</v>
      </c>
      <c r="G26" s="3" t="s">
        <v>212</v>
      </c>
      <c r="H26" s="3" t="s">
        <v>213</v>
      </c>
    </row>
    <row r="27" customFormat="false" ht="68.25" hidden="false" customHeight="true" outlineLevel="0" collapsed="false">
      <c r="A27" s="3" t="s">
        <v>214</v>
      </c>
      <c r="B27" s="3" t="s">
        <v>215</v>
      </c>
      <c r="C27" s="3" t="s">
        <v>216</v>
      </c>
      <c r="D27" s="3" t="s">
        <v>217</v>
      </c>
      <c r="E27" s="3" t="s">
        <v>61</v>
      </c>
      <c r="F27" s="3" t="s">
        <v>218</v>
      </c>
      <c r="G27" s="3" t="s">
        <v>219</v>
      </c>
      <c r="H27" s="3" t="s">
        <v>220</v>
      </c>
    </row>
    <row r="28" customFormat="false" ht="68.25" hidden="false" customHeight="true" outlineLevel="0" collapsed="false">
      <c r="A28" s="3" t="s">
        <v>221</v>
      </c>
      <c r="B28" s="3" t="s">
        <v>215</v>
      </c>
      <c r="C28" s="3" t="s">
        <v>222</v>
      </c>
      <c r="D28" s="3" t="s">
        <v>223</v>
      </c>
      <c r="E28" s="3" t="s">
        <v>61</v>
      </c>
      <c r="F28" s="3" t="s">
        <v>224</v>
      </c>
      <c r="G28" s="3" t="s">
        <v>225</v>
      </c>
      <c r="H28" s="3" t="s">
        <v>226</v>
      </c>
    </row>
    <row r="29" customFormat="false" ht="34.5" hidden="false" customHeight="true" outlineLevel="0" collapsed="false">
      <c r="A29" s="3" t="s">
        <v>227</v>
      </c>
      <c r="B29" s="3" t="s">
        <v>215</v>
      </c>
      <c r="C29" s="3" t="s">
        <v>228</v>
      </c>
      <c r="D29" s="3" t="s">
        <v>229</v>
      </c>
      <c r="E29" s="3" t="s">
        <v>80</v>
      </c>
      <c r="F29" s="3" t="s">
        <v>230</v>
      </c>
      <c r="G29" s="3" t="s">
        <v>19</v>
      </c>
      <c r="H29" s="3" t="s">
        <v>231</v>
      </c>
    </row>
    <row r="30" customFormat="false" ht="45.75" hidden="false" customHeight="true" outlineLevel="0" collapsed="false">
      <c r="A30" s="3" t="s">
        <v>232</v>
      </c>
      <c r="B30" s="3" t="s">
        <v>215</v>
      </c>
      <c r="C30" s="3" t="s">
        <v>233</v>
      </c>
      <c r="D30" s="3" t="s">
        <v>234</v>
      </c>
      <c r="E30" s="3" t="s">
        <v>80</v>
      </c>
      <c r="F30" s="3" t="s">
        <v>235</v>
      </c>
      <c r="G30" s="3" t="s">
        <v>19</v>
      </c>
      <c r="H30" s="3" t="s">
        <v>236</v>
      </c>
    </row>
    <row r="31" customFormat="false" ht="45.75" hidden="false" customHeight="true" outlineLevel="0" collapsed="false">
      <c r="A31" s="3" t="s">
        <v>237</v>
      </c>
      <c r="B31" s="3" t="s">
        <v>215</v>
      </c>
      <c r="C31" s="3" t="s">
        <v>238</v>
      </c>
      <c r="D31" s="3" t="s">
        <v>239</v>
      </c>
      <c r="E31" s="3" t="s">
        <v>61</v>
      </c>
      <c r="F31" s="3" t="s">
        <v>240</v>
      </c>
      <c r="G31" s="3" t="s">
        <v>19</v>
      </c>
      <c r="H31" s="3" t="s">
        <v>241</v>
      </c>
    </row>
    <row r="32" customFormat="false" ht="45.75" hidden="false" customHeight="true" outlineLevel="0" collapsed="false">
      <c r="A32" s="3" t="s">
        <v>242</v>
      </c>
      <c r="B32" s="3" t="s">
        <v>215</v>
      </c>
      <c r="C32" s="3" t="s">
        <v>243</v>
      </c>
      <c r="D32" s="3" t="s">
        <v>244</v>
      </c>
      <c r="E32" s="3" t="s">
        <v>80</v>
      </c>
      <c r="F32" s="3" t="s">
        <v>245</v>
      </c>
      <c r="G32" s="3" t="s">
        <v>246</v>
      </c>
      <c r="H32" s="3" t="s">
        <v>247</v>
      </c>
    </row>
    <row r="33" customFormat="false" ht="68.25" hidden="false" customHeight="true" outlineLevel="0" collapsed="false">
      <c r="A33" s="3" t="s">
        <v>248</v>
      </c>
      <c r="B33" s="3" t="s">
        <v>249</v>
      </c>
      <c r="C33" s="3" t="s">
        <v>250</v>
      </c>
      <c r="D33" s="3" t="s">
        <v>251</v>
      </c>
      <c r="E33" s="3" t="s">
        <v>61</v>
      </c>
      <c r="F33" s="3" t="s">
        <v>252</v>
      </c>
      <c r="G33" s="3" t="s">
        <v>253</v>
      </c>
      <c r="H33" s="3" t="s">
        <v>254</v>
      </c>
    </row>
    <row r="34" customFormat="false" ht="45.75" hidden="false" customHeight="true" outlineLevel="0" collapsed="false">
      <c r="A34" s="3" t="s">
        <v>255</v>
      </c>
      <c r="B34" s="3" t="s">
        <v>249</v>
      </c>
      <c r="C34" s="3" t="s">
        <v>256</v>
      </c>
      <c r="D34" s="3" t="s">
        <v>257</v>
      </c>
      <c r="E34" s="3" t="s">
        <v>61</v>
      </c>
      <c r="F34" s="3" t="s">
        <v>258</v>
      </c>
      <c r="G34" s="3" t="s">
        <v>259</v>
      </c>
      <c r="H34" s="3" t="s">
        <v>260</v>
      </c>
    </row>
    <row r="35" customFormat="false" ht="45.75" hidden="false" customHeight="true" outlineLevel="0" collapsed="false">
      <c r="A35" s="3" t="s">
        <v>261</v>
      </c>
      <c r="B35" s="3" t="s">
        <v>249</v>
      </c>
      <c r="C35" s="3" t="s">
        <v>262</v>
      </c>
      <c r="D35" s="3" t="s">
        <v>263</v>
      </c>
      <c r="E35" s="3" t="s">
        <v>80</v>
      </c>
      <c r="F35" s="3" t="s">
        <v>264</v>
      </c>
      <c r="G35" s="3" t="s">
        <v>265</v>
      </c>
      <c r="H35" s="3" t="s">
        <v>266</v>
      </c>
    </row>
    <row r="36" customFormat="false" ht="34.5" hidden="false" customHeight="true" outlineLevel="0" collapsed="false">
      <c r="A36" s="3" t="s">
        <v>267</v>
      </c>
      <c r="B36" s="3" t="s">
        <v>249</v>
      </c>
      <c r="C36" s="3" t="s">
        <v>268</v>
      </c>
      <c r="D36" s="3" t="s">
        <v>269</v>
      </c>
      <c r="E36" s="3" t="s">
        <v>270</v>
      </c>
      <c r="F36" s="3" t="s">
        <v>271</v>
      </c>
      <c r="G36" s="3" t="s">
        <v>272</v>
      </c>
      <c r="H36" s="3" t="s">
        <v>273</v>
      </c>
    </row>
    <row r="37" customFormat="false" ht="45.75" hidden="false" customHeight="true" outlineLevel="0" collapsed="false">
      <c r="A37" s="3" t="s">
        <v>274</v>
      </c>
      <c r="B37" s="3" t="s">
        <v>275</v>
      </c>
      <c r="C37" s="3" t="s">
        <v>276</v>
      </c>
      <c r="D37" s="3" t="s">
        <v>277</v>
      </c>
      <c r="E37" s="3" t="s">
        <v>61</v>
      </c>
      <c r="F37" s="3" t="s">
        <v>278</v>
      </c>
      <c r="G37" s="3" t="s">
        <v>279</v>
      </c>
      <c r="H37" s="3" t="s">
        <v>280</v>
      </c>
    </row>
    <row r="38" customFormat="false" ht="45.75" hidden="false" customHeight="true" outlineLevel="0" collapsed="false">
      <c r="A38" s="3" t="s">
        <v>281</v>
      </c>
      <c r="B38" s="3" t="s">
        <v>275</v>
      </c>
      <c r="C38" s="3" t="s">
        <v>282</v>
      </c>
      <c r="D38" s="3" t="s">
        <v>283</v>
      </c>
      <c r="E38" s="3" t="s">
        <v>61</v>
      </c>
      <c r="F38" s="3" t="s">
        <v>284</v>
      </c>
      <c r="G38" s="3" t="s">
        <v>27</v>
      </c>
      <c r="H38" s="3" t="s">
        <v>285</v>
      </c>
    </row>
    <row r="39" customFormat="false" ht="68.25" hidden="false" customHeight="true" outlineLevel="0" collapsed="false">
      <c r="A39" s="3" t="s">
        <v>286</v>
      </c>
      <c r="B39" s="3" t="s">
        <v>275</v>
      </c>
      <c r="C39" s="3" t="s">
        <v>287</v>
      </c>
      <c r="D39" s="3" t="s">
        <v>288</v>
      </c>
      <c r="E39" s="3" t="s">
        <v>61</v>
      </c>
      <c r="F39" s="3" t="s">
        <v>289</v>
      </c>
      <c r="G39" s="3" t="s">
        <v>290</v>
      </c>
      <c r="H39" s="3" t="s">
        <v>291</v>
      </c>
    </row>
    <row r="40" customFormat="false" ht="45.75" hidden="false" customHeight="true" outlineLevel="0" collapsed="false">
      <c r="A40" s="3" t="s">
        <v>292</v>
      </c>
      <c r="B40" s="3" t="s">
        <v>275</v>
      </c>
      <c r="C40" s="3" t="s">
        <v>293</v>
      </c>
      <c r="D40" s="3" t="s">
        <v>294</v>
      </c>
      <c r="E40" s="3" t="s">
        <v>80</v>
      </c>
      <c r="F40" s="3" t="s">
        <v>295</v>
      </c>
      <c r="G40" s="3" t="s">
        <v>27</v>
      </c>
      <c r="H40" s="3" t="s">
        <v>296</v>
      </c>
    </row>
  </sheetData>
  <conditionalFormatting sqref="E2:E40">
    <cfRule type="expression" priority="2" aboveAverage="0" equalAverage="0" bottom="0" percent="0" rank="0" text="" dxfId="7">
      <formula>$E2="Must"</formula>
    </cfRule>
    <cfRule type="expression" priority="3" aboveAverage="0" equalAverage="0" bottom="0" percent="0" rank="0" text="" dxfId="8">
      <formula>$E2="Should"</formula>
    </cfRule>
    <cfRule type="expression" priority="4" aboveAverage="0" equalAverage="0" bottom="0" percent="0" rank="0" text="" dxfId="9">
      <formula>$E2="Could"</formula>
    </cfRule>
    <cfRule type="expression" priority="5" aboveAverage="0" equalAverage="0" bottom="0" percent="0" rank="0" text="" dxfId="10">
      <formula>$E2="Won't"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4"/>
    <col collapsed="false" customWidth="true" hidden="false" outlineLevel="0" max="3" min="3" style="1" width="80"/>
    <col collapsed="false" customWidth="true" hidden="false" outlineLevel="0" max="4" min="4" style="1" width="50"/>
  </cols>
  <sheetData>
    <row r="1" customFormat="false" ht="15" hidden="false" customHeight="true" outlineLevel="0" collapsed="false">
      <c r="A1" s="2" t="s">
        <v>49</v>
      </c>
      <c r="B1" s="2" t="s">
        <v>297</v>
      </c>
      <c r="C1" s="2" t="s">
        <v>298</v>
      </c>
      <c r="D1" s="2" t="s">
        <v>5</v>
      </c>
    </row>
    <row r="2" customFormat="false" ht="23.25" hidden="false" customHeight="true" outlineLevel="0" collapsed="false">
      <c r="A2" s="3" t="s">
        <v>299</v>
      </c>
      <c r="B2" s="3" t="s">
        <v>300</v>
      </c>
      <c r="C2" s="3" t="s">
        <v>301</v>
      </c>
      <c r="D2" s="3" t="s">
        <v>19</v>
      </c>
    </row>
    <row r="3" customFormat="false" ht="23.25" hidden="false" customHeight="true" outlineLevel="0" collapsed="false">
      <c r="A3" s="3" t="s">
        <v>302</v>
      </c>
      <c r="B3" s="3" t="s">
        <v>303</v>
      </c>
      <c r="C3" s="3" t="s">
        <v>304</v>
      </c>
      <c r="D3" s="3" t="s">
        <v>19</v>
      </c>
    </row>
    <row r="4" customFormat="false" ht="34.5" hidden="false" customHeight="true" outlineLevel="0" collapsed="false">
      <c r="A4" s="3" t="s">
        <v>305</v>
      </c>
      <c r="B4" s="3" t="s">
        <v>306</v>
      </c>
      <c r="C4" s="3" t="s">
        <v>307</v>
      </c>
      <c r="D4" s="3" t="s">
        <v>308</v>
      </c>
    </row>
    <row r="5" customFormat="false" ht="23.25" hidden="false" customHeight="true" outlineLevel="0" collapsed="false">
      <c r="A5" s="3" t="s">
        <v>309</v>
      </c>
      <c r="B5" s="3" t="s">
        <v>310</v>
      </c>
      <c r="C5" s="3" t="s">
        <v>311</v>
      </c>
      <c r="D5" s="3" t="s">
        <v>312</v>
      </c>
    </row>
    <row r="6" customFormat="false" ht="23.25" hidden="false" customHeight="true" outlineLevel="0" collapsed="false">
      <c r="A6" s="3" t="s">
        <v>313</v>
      </c>
      <c r="B6" s="3" t="s">
        <v>314</v>
      </c>
      <c r="C6" s="3" t="s">
        <v>315</v>
      </c>
      <c r="D6" s="3" t="s">
        <v>316</v>
      </c>
    </row>
    <row r="7" customFormat="false" ht="34.5" hidden="false" customHeight="true" outlineLevel="0" collapsed="false">
      <c r="A7" s="3" t="s">
        <v>317</v>
      </c>
      <c r="B7" s="3" t="s">
        <v>318</v>
      </c>
      <c r="C7" s="3" t="s">
        <v>319</v>
      </c>
      <c r="D7" s="3" t="s">
        <v>320</v>
      </c>
    </row>
    <row r="8" customFormat="false" ht="23.25" hidden="false" customHeight="true" outlineLevel="0" collapsed="false">
      <c r="A8" s="3" t="s">
        <v>321</v>
      </c>
      <c r="B8" s="3" t="s">
        <v>322</v>
      </c>
      <c r="C8" s="3" t="s">
        <v>323</v>
      </c>
      <c r="D8" s="3" t="s">
        <v>88</v>
      </c>
    </row>
    <row r="9" customFormat="false" ht="23.25" hidden="false" customHeight="true" outlineLevel="0" collapsed="false">
      <c r="A9" s="3" t="s">
        <v>324</v>
      </c>
      <c r="B9" s="3" t="s">
        <v>325</v>
      </c>
      <c r="C9" s="3" t="s">
        <v>326</v>
      </c>
      <c r="D9" s="3" t="s">
        <v>19</v>
      </c>
    </row>
    <row r="10" customFormat="false" ht="34.5" hidden="false" customHeight="true" outlineLevel="0" collapsed="false">
      <c r="A10" s="3" t="s">
        <v>327</v>
      </c>
      <c r="B10" s="3" t="s">
        <v>328</v>
      </c>
      <c r="C10" s="3" t="s">
        <v>329</v>
      </c>
      <c r="D10" s="3" t="s">
        <v>330</v>
      </c>
    </row>
    <row r="11" customFormat="false" ht="23.25" hidden="false" customHeight="true" outlineLevel="0" collapsed="false">
      <c r="A11" s="3" t="s">
        <v>331</v>
      </c>
      <c r="B11" s="3" t="s">
        <v>332</v>
      </c>
      <c r="C11" s="3" t="s">
        <v>333</v>
      </c>
      <c r="D11" s="3" t="s">
        <v>334</v>
      </c>
    </row>
    <row r="12" customFormat="false" ht="23.25" hidden="false" customHeight="true" outlineLevel="0" collapsed="false">
      <c r="A12" s="3" t="s">
        <v>335</v>
      </c>
      <c r="B12" s="3" t="s">
        <v>336</v>
      </c>
      <c r="C12" s="3" t="s">
        <v>337</v>
      </c>
      <c r="D12" s="3" t="s">
        <v>27</v>
      </c>
    </row>
    <row r="13" customFormat="false" ht="23.25" hidden="false" customHeight="true" outlineLevel="0" collapsed="false">
      <c r="A13" s="3" t="s">
        <v>338</v>
      </c>
      <c r="B13" s="3" t="s">
        <v>339</v>
      </c>
      <c r="C13" s="3" t="s">
        <v>340</v>
      </c>
      <c r="D13" s="3" t="s">
        <v>341</v>
      </c>
    </row>
    <row r="14" customFormat="false" ht="23.25" hidden="false" customHeight="true" outlineLevel="0" collapsed="false">
      <c r="A14" s="3" t="s">
        <v>342</v>
      </c>
      <c r="B14" s="3" t="s">
        <v>343</v>
      </c>
      <c r="C14" s="3" t="s">
        <v>344</v>
      </c>
      <c r="D14" s="3" t="s">
        <v>27</v>
      </c>
    </row>
    <row r="15" customFormat="false" ht="15" hidden="false" customHeight="true" outlineLevel="0" collapsed="false">
      <c r="A15" s="3" t="s">
        <v>345</v>
      </c>
      <c r="B15" s="3" t="s">
        <v>346</v>
      </c>
      <c r="C15" s="3" t="s">
        <v>347</v>
      </c>
      <c r="D15" s="3" t="s">
        <v>27</v>
      </c>
    </row>
    <row r="16" customFormat="false" ht="34.5" hidden="false" customHeight="true" outlineLevel="0" collapsed="false">
      <c r="A16" s="3" t="s">
        <v>348</v>
      </c>
      <c r="B16" s="3" t="s">
        <v>349</v>
      </c>
      <c r="C16" s="3" t="s">
        <v>350</v>
      </c>
      <c r="D16" s="3" t="s">
        <v>351</v>
      </c>
    </row>
    <row r="17" customFormat="false" ht="23.25" hidden="false" customHeight="true" outlineLevel="0" collapsed="false">
      <c r="A17" s="3" t="s">
        <v>352</v>
      </c>
      <c r="B17" s="3" t="s">
        <v>353</v>
      </c>
      <c r="C17" s="3" t="s">
        <v>354</v>
      </c>
      <c r="D17" s="3" t="s">
        <v>253</v>
      </c>
    </row>
    <row r="18" customFormat="false" ht="75" hidden="false" customHeight="true" outlineLevel="0" collapsed="false">
      <c r="A18" s="3" t="s">
        <v>355</v>
      </c>
      <c r="B18" s="3" t="s">
        <v>356</v>
      </c>
      <c r="C18" s="3" t="s">
        <v>357</v>
      </c>
      <c r="D18" s="3" t="s">
        <v>358</v>
      </c>
    </row>
    <row r="19" customFormat="false" ht="75" hidden="false" customHeight="true" outlineLevel="0" collapsed="false">
      <c r="A19" s="3" t="s">
        <v>359</v>
      </c>
      <c r="B19" s="3" t="s">
        <v>360</v>
      </c>
      <c r="C19" s="3" t="s">
        <v>361</v>
      </c>
      <c r="D19" s="3" t="s">
        <v>362</v>
      </c>
    </row>
    <row r="20" customFormat="false" ht="75" hidden="false" customHeight="true" outlineLevel="0" collapsed="false">
      <c r="A20" s="3" t="s">
        <v>363</v>
      </c>
      <c r="B20" s="3" t="s">
        <v>364</v>
      </c>
      <c r="C20" s="3" t="s">
        <v>365</v>
      </c>
      <c r="D20" s="3" t="s">
        <v>366</v>
      </c>
    </row>
    <row r="21" customFormat="false" ht="75" hidden="false" customHeight="true" outlineLevel="0" collapsed="false">
      <c r="A21" s="3" t="s">
        <v>367</v>
      </c>
      <c r="B21" s="3" t="s">
        <v>368</v>
      </c>
      <c r="C21" s="3" t="s">
        <v>369</v>
      </c>
      <c r="D21" s="3" t="s">
        <v>370</v>
      </c>
    </row>
    <row r="22" customFormat="false" ht="75" hidden="false" customHeight="true" outlineLevel="0" collapsed="false">
      <c r="A22" s="3" t="s">
        <v>371</v>
      </c>
      <c r="B22" s="3" t="s">
        <v>372</v>
      </c>
      <c r="C22" s="3" t="s">
        <v>373</v>
      </c>
      <c r="D22" s="3" t="s">
        <v>374</v>
      </c>
    </row>
    <row r="23" customFormat="false" ht="75" hidden="false" customHeight="true" outlineLevel="0" collapsed="false">
      <c r="A23" s="3" t="s">
        <v>375</v>
      </c>
      <c r="B23" s="3" t="s">
        <v>376</v>
      </c>
      <c r="C23" s="3" t="s">
        <v>377</v>
      </c>
      <c r="D23" s="3" t="s">
        <v>378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4"/>
    <col collapsed="false" customWidth="true" hidden="false" outlineLevel="0" max="3" min="3" style="1" width="26"/>
    <col collapsed="false" customWidth="true" hidden="false" outlineLevel="0" max="5" min="4" style="1" width="42"/>
    <col collapsed="false" customWidth="true" hidden="false" outlineLevel="0" max="6" min="6" style="1" width="40"/>
    <col collapsed="false" customWidth="true" hidden="false" outlineLevel="0" max="7" min="7" style="1" width="55"/>
  </cols>
  <sheetData>
    <row r="1" customFormat="false" ht="15" hidden="false" customHeight="true" outlineLevel="0" collapsed="false">
      <c r="A1" s="2" t="s">
        <v>49</v>
      </c>
      <c r="B1" s="2" t="s">
        <v>379</v>
      </c>
      <c r="C1" s="2" t="s">
        <v>380</v>
      </c>
      <c r="D1" s="2" t="s">
        <v>381</v>
      </c>
      <c r="E1" s="2" t="s">
        <v>382</v>
      </c>
      <c r="F1" s="2" t="s">
        <v>383</v>
      </c>
      <c r="G1" s="2" t="s">
        <v>384</v>
      </c>
    </row>
    <row r="2" customFormat="false" ht="45.75" hidden="false" customHeight="true" outlineLevel="0" collapsed="false">
      <c r="A2" s="3" t="s">
        <v>385</v>
      </c>
      <c r="B2" s="3" t="s">
        <v>386</v>
      </c>
      <c r="C2" s="3" t="s">
        <v>387</v>
      </c>
      <c r="D2" s="3" t="s">
        <v>388</v>
      </c>
      <c r="E2" s="3" t="s">
        <v>389</v>
      </c>
      <c r="F2" s="3" t="s">
        <v>390</v>
      </c>
      <c r="G2" s="3" t="s">
        <v>391</v>
      </c>
    </row>
    <row r="3" customFormat="false" ht="34.5" hidden="false" customHeight="true" outlineLevel="0" collapsed="false">
      <c r="A3" s="3" t="s">
        <v>392</v>
      </c>
      <c r="B3" s="3" t="s">
        <v>386</v>
      </c>
      <c r="C3" s="3" t="s">
        <v>393</v>
      </c>
      <c r="D3" s="3" t="s">
        <v>394</v>
      </c>
      <c r="E3" s="3" t="s">
        <v>395</v>
      </c>
      <c r="F3" s="3" t="s">
        <v>396</v>
      </c>
      <c r="G3" s="3" t="s">
        <v>397</v>
      </c>
    </row>
    <row r="4" customFormat="false" ht="45.75" hidden="false" customHeight="true" outlineLevel="0" collapsed="false">
      <c r="A4" s="3" t="s">
        <v>398</v>
      </c>
      <c r="B4" s="3" t="s">
        <v>399</v>
      </c>
      <c r="C4" s="3" t="s">
        <v>400</v>
      </c>
      <c r="D4" s="3" t="s">
        <v>401</v>
      </c>
      <c r="E4" s="3" t="s">
        <v>402</v>
      </c>
      <c r="F4" s="3" t="s">
        <v>403</v>
      </c>
      <c r="G4" s="3" t="s">
        <v>404</v>
      </c>
    </row>
    <row r="5" customFormat="false" ht="45.75" hidden="false" customHeight="true" outlineLevel="0" collapsed="false">
      <c r="A5" s="3" t="s">
        <v>405</v>
      </c>
      <c r="B5" s="3" t="s">
        <v>386</v>
      </c>
      <c r="C5" s="3" t="s">
        <v>406</v>
      </c>
      <c r="D5" s="3" t="s">
        <v>407</v>
      </c>
      <c r="E5" s="3" t="s">
        <v>408</v>
      </c>
      <c r="F5" s="3" t="s">
        <v>409</v>
      </c>
      <c r="G5" s="3" t="s">
        <v>410</v>
      </c>
    </row>
    <row r="6" customFormat="false" ht="45.75" hidden="false" customHeight="true" outlineLevel="0" collapsed="false">
      <c r="A6" s="3" t="s">
        <v>411</v>
      </c>
      <c r="B6" s="3" t="s">
        <v>386</v>
      </c>
      <c r="C6" s="3" t="s">
        <v>412</v>
      </c>
      <c r="D6" s="3" t="s">
        <v>413</v>
      </c>
      <c r="E6" s="3" t="s">
        <v>414</v>
      </c>
      <c r="F6" s="3" t="s">
        <v>290</v>
      </c>
      <c r="G6" s="3" t="s">
        <v>415</v>
      </c>
    </row>
    <row r="7" customFormat="false" ht="23.25" hidden="false" customHeight="true" outlineLevel="0" collapsed="false">
      <c r="A7" s="3" t="s">
        <v>416</v>
      </c>
      <c r="B7" s="3" t="s">
        <v>386</v>
      </c>
      <c r="C7" s="3" t="s">
        <v>417</v>
      </c>
      <c r="D7" s="3" t="s">
        <v>418</v>
      </c>
      <c r="E7" s="3" t="s">
        <v>419</v>
      </c>
      <c r="F7" s="3" t="s">
        <v>420</v>
      </c>
      <c r="G7" s="3" t="s">
        <v>421</v>
      </c>
    </row>
    <row r="8" customFormat="false" ht="45.75" hidden="false" customHeight="true" outlineLevel="0" collapsed="false">
      <c r="A8" s="3" t="s">
        <v>422</v>
      </c>
      <c r="B8" s="3" t="s">
        <v>399</v>
      </c>
      <c r="C8" s="3" t="s">
        <v>423</v>
      </c>
      <c r="D8" s="3" t="s">
        <v>424</v>
      </c>
      <c r="E8" s="3" t="s">
        <v>425</v>
      </c>
      <c r="F8" s="3" t="s">
        <v>426</v>
      </c>
      <c r="G8" s="3" t="s">
        <v>427</v>
      </c>
    </row>
    <row r="9" customFormat="false" ht="23.25" hidden="false" customHeight="true" outlineLevel="0" collapsed="false">
      <c r="A9" s="3" t="s">
        <v>428</v>
      </c>
      <c r="B9" s="3" t="s">
        <v>399</v>
      </c>
      <c r="C9" s="3" t="s">
        <v>429</v>
      </c>
      <c r="D9" s="3" t="s">
        <v>430</v>
      </c>
      <c r="E9" s="3" t="s">
        <v>431</v>
      </c>
      <c r="F9" s="3" t="s">
        <v>138</v>
      </c>
      <c r="G9" s="3" t="s">
        <v>432</v>
      </c>
    </row>
    <row r="10" customFormat="false" ht="23.25" hidden="false" customHeight="true" outlineLevel="0" collapsed="false">
      <c r="A10" s="3" t="s">
        <v>433</v>
      </c>
      <c r="B10" s="3" t="s">
        <v>399</v>
      </c>
      <c r="C10" s="3" t="s">
        <v>434</v>
      </c>
      <c r="D10" s="3" t="s">
        <v>435</v>
      </c>
      <c r="E10" s="3" t="s">
        <v>436</v>
      </c>
      <c r="F10" s="3" t="s">
        <v>437</v>
      </c>
      <c r="G10" s="3" t="s">
        <v>438</v>
      </c>
    </row>
    <row r="11" customFormat="false" ht="34.5" hidden="false" customHeight="true" outlineLevel="0" collapsed="false">
      <c r="A11" s="3" t="s">
        <v>439</v>
      </c>
      <c r="B11" s="3" t="s">
        <v>386</v>
      </c>
      <c r="C11" s="3" t="s">
        <v>440</v>
      </c>
      <c r="D11" s="3" t="s">
        <v>441</v>
      </c>
      <c r="E11" s="3" t="s">
        <v>442</v>
      </c>
      <c r="F11" s="3" t="s">
        <v>443</v>
      </c>
      <c r="G11" s="3" t="s">
        <v>444</v>
      </c>
    </row>
    <row r="12" customFormat="false" ht="34.5" hidden="false" customHeight="true" outlineLevel="0" collapsed="false">
      <c r="A12" s="3" t="s">
        <v>445</v>
      </c>
      <c r="B12" s="3" t="s">
        <v>386</v>
      </c>
      <c r="C12" s="3" t="s">
        <v>446</v>
      </c>
      <c r="D12" s="3" t="s">
        <v>447</v>
      </c>
      <c r="E12" s="3" t="s">
        <v>448</v>
      </c>
      <c r="F12" s="3" t="s">
        <v>449</v>
      </c>
      <c r="G12" s="3" t="s">
        <v>450</v>
      </c>
    </row>
    <row r="13" customFormat="false" ht="34.5" hidden="false" customHeight="true" outlineLevel="0" collapsed="false">
      <c r="A13" s="3" t="s">
        <v>451</v>
      </c>
      <c r="B13" s="3" t="s">
        <v>399</v>
      </c>
      <c r="C13" s="3" t="s">
        <v>452</v>
      </c>
      <c r="D13" s="3" t="s">
        <v>453</v>
      </c>
      <c r="E13" s="3" t="s">
        <v>454</v>
      </c>
      <c r="F13" s="3" t="s">
        <v>455</v>
      </c>
      <c r="G13" s="3" t="s">
        <v>456</v>
      </c>
    </row>
    <row r="14" customFormat="false" ht="45.75" hidden="false" customHeight="true" outlineLevel="0" collapsed="false">
      <c r="A14" s="3" t="s">
        <v>457</v>
      </c>
      <c r="B14" s="3" t="s">
        <v>399</v>
      </c>
      <c r="C14" s="3" t="s">
        <v>458</v>
      </c>
      <c r="D14" s="3" t="s">
        <v>459</v>
      </c>
      <c r="E14" s="3" t="s">
        <v>460</v>
      </c>
      <c r="F14" s="3" t="s">
        <v>461</v>
      </c>
      <c r="G14" s="3" t="s">
        <v>462</v>
      </c>
    </row>
    <row r="15" customFormat="false" ht="34.5" hidden="false" customHeight="true" outlineLevel="0" collapsed="false">
      <c r="A15" s="3" t="s">
        <v>463</v>
      </c>
      <c r="B15" s="3" t="s">
        <v>399</v>
      </c>
      <c r="C15" s="3" t="s">
        <v>464</v>
      </c>
      <c r="D15" s="3" t="s">
        <v>465</v>
      </c>
      <c r="E15" s="3" t="s">
        <v>466</v>
      </c>
      <c r="F15" s="3" t="s">
        <v>467</v>
      </c>
      <c r="G15" s="3" t="s">
        <v>468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0"/>
    <col collapsed="false" customWidth="true" hidden="false" outlineLevel="0" max="5" min="2" style="1" width="24"/>
  </cols>
  <sheetData>
    <row r="1" customFormat="false" ht="15" hidden="false" customHeight="true" outlineLevel="0" collapsed="false">
      <c r="A1" s="4" t="s">
        <v>469</v>
      </c>
      <c r="B1" s="4" t="s">
        <v>470</v>
      </c>
      <c r="C1" s="4" t="s">
        <v>471</v>
      </c>
      <c r="D1" s="4" t="s">
        <v>472</v>
      </c>
      <c r="E1" s="4" t="s">
        <v>473</v>
      </c>
    </row>
    <row r="2" customFormat="false" ht="15" hidden="false" customHeight="true" outlineLevel="0" collapsed="false">
      <c r="A2" s="5" t="s">
        <v>474</v>
      </c>
      <c r="B2" s="5" t="s">
        <v>475</v>
      </c>
      <c r="C2" s="5" t="n">
        <f aca="false">COUNTIF('User stories'!$G:$G,"*"&amp;A2&amp;"*")</f>
        <v>8</v>
      </c>
      <c r="D2" s="5" t="n">
        <f aca="false">COUNTIF('Non-functional requirements'!$D:$D,"*"&amp;A2&amp;"*")</f>
        <v>2</v>
      </c>
      <c r="E2" s="5" t="n">
        <f aca="false">COUNTIF(Stakeholders!$F:$F,"*"&amp;A2&amp;"*")</f>
        <v>2</v>
      </c>
    </row>
    <row r="3" customFormat="false" ht="15" hidden="false" customHeight="true" outlineLevel="0" collapsed="false">
      <c r="A3" s="5" t="s">
        <v>334</v>
      </c>
      <c r="B3" s="5" t="s">
        <v>475</v>
      </c>
      <c r="C3" s="5" t="n">
        <f aca="false">COUNTIF('User stories'!$G:$G,"*"&amp;A3&amp;"*")</f>
        <v>10</v>
      </c>
      <c r="D3" s="5" t="n">
        <f aca="false">COUNTIF('Non-functional requirements'!$D:$D,"*"&amp;A3&amp;"*")</f>
        <v>3</v>
      </c>
      <c r="E3" s="5" t="n">
        <f aca="false">COUNTIF(Stakeholders!$F:$F,"*"&amp;A3&amp;"*")</f>
        <v>1</v>
      </c>
    </row>
    <row r="4" customFormat="false" ht="15" hidden="false" customHeight="true" outlineLevel="0" collapsed="false">
      <c r="A4" s="5" t="s">
        <v>19</v>
      </c>
      <c r="B4" s="5" t="s">
        <v>475</v>
      </c>
      <c r="C4" s="5" t="n">
        <f aca="false">COUNTIF('User stories'!$G:$G,"*"&amp;A4&amp;"*")</f>
        <v>7</v>
      </c>
      <c r="D4" s="5" t="n">
        <f aca="false">COUNTIF('Non-functional requirements'!$D:$D,"*"&amp;A4&amp;"*")</f>
        <v>5</v>
      </c>
      <c r="E4" s="5" t="n">
        <f aca="false">COUNTIF(Stakeholders!$F:$F,"*"&amp;A4&amp;"*")</f>
        <v>2</v>
      </c>
    </row>
    <row r="5" customFormat="false" ht="15" hidden="false" customHeight="true" outlineLevel="0" collapsed="false">
      <c r="A5" s="5" t="s">
        <v>175</v>
      </c>
      <c r="B5" s="5" t="s">
        <v>475</v>
      </c>
      <c r="C5" s="5" t="n">
        <f aca="false">COUNTIF('User stories'!$G:$G,"*"&amp;A5&amp;"*")</f>
        <v>8</v>
      </c>
      <c r="D5" s="5" t="n">
        <f aca="false">COUNTIF('Non-functional requirements'!$D:$D,"*"&amp;A5&amp;"*")</f>
        <v>2</v>
      </c>
      <c r="E5" s="5" t="n">
        <f aca="false">COUNTIF(Stakeholders!$F:$F,"*"&amp;A5&amp;"*")</f>
        <v>1</v>
      </c>
    </row>
    <row r="6" customFormat="false" ht="15" hidden="false" customHeight="true" outlineLevel="0" collapsed="false">
      <c r="A6" s="5" t="s">
        <v>27</v>
      </c>
      <c r="B6" s="5" t="s">
        <v>475</v>
      </c>
      <c r="C6" s="5" t="n">
        <f aca="false">COUNTIF('User stories'!$G:$G,"*"&amp;A6&amp;"*")</f>
        <v>4</v>
      </c>
      <c r="D6" s="5" t="n">
        <f aca="false">COUNTIF('Non-functional requirements'!$D:$D,"*"&amp;A6&amp;"*")</f>
        <v>5</v>
      </c>
      <c r="E6" s="5" t="n">
        <f aca="false">COUNTIF(Stakeholders!$F:$F,"*"&amp;A6&amp;"*")</f>
        <v>1</v>
      </c>
    </row>
    <row r="7" customFormat="false" ht="15" hidden="false" customHeight="true" outlineLevel="0" collapsed="false">
      <c r="A7" s="5" t="s">
        <v>476</v>
      </c>
      <c r="B7" s="5" t="s">
        <v>475</v>
      </c>
      <c r="C7" s="5" t="n">
        <f aca="false">COUNTIF('User stories'!$G:$G,"*"&amp;A7&amp;"*")</f>
        <v>24</v>
      </c>
      <c r="D7" s="5" t="n">
        <f aca="false">COUNTIF('Non-functional requirements'!$D:$D,"*"&amp;A7&amp;"*")</f>
        <v>4</v>
      </c>
      <c r="E7" s="5" t="n">
        <f aca="false">COUNTIF(Stakeholders!$F:$F,"*"&amp;A7&amp;"*")</f>
        <v>3</v>
      </c>
    </row>
    <row r="8" customFormat="false" ht="15" hidden="false" customHeight="true" outlineLevel="0" collapsed="false">
      <c r="A8" s="5" t="s">
        <v>477</v>
      </c>
      <c r="B8" s="5" t="s">
        <v>478</v>
      </c>
      <c r="C8" s="5" t="n">
        <f aca="false">COUNTIF('User stories'!$G:$G,"*"&amp;A8&amp;"*")</f>
        <v>5</v>
      </c>
      <c r="D8" s="5" t="n">
        <f aca="false">COUNTIF('Non-functional requirements'!$D:$D,"*"&amp;A8&amp;"*")</f>
        <v>1</v>
      </c>
      <c r="E8" s="5" t="n">
        <f aca="false">COUNTIF(Stakeholders!$F:$F,"*"&amp;A8&amp;"*")</f>
        <v>4</v>
      </c>
    </row>
    <row r="9" customFormat="false" ht="15" hidden="false" customHeight="true" outlineLevel="0" collapsed="false">
      <c r="A9" s="5" t="s">
        <v>479</v>
      </c>
      <c r="B9" s="5" t="s">
        <v>478</v>
      </c>
      <c r="C9" s="5" t="n">
        <f aca="false">COUNTIF('User stories'!$G:$G,"*"&amp;A9&amp;"*")</f>
        <v>0</v>
      </c>
      <c r="D9" s="5" t="n">
        <f aca="false">COUNTIF('Non-functional requirements'!$D:$D,"*"&amp;A9&amp;"*")</f>
        <v>3</v>
      </c>
      <c r="E9" s="5" t="n">
        <f aca="false">COUNTIF(Stakeholders!$F:$F,"*"&amp;A9&amp;"*")</f>
        <v>2</v>
      </c>
    </row>
    <row r="10" customFormat="false" ht="15" hidden="false" customHeight="true" outlineLevel="0" collapsed="false">
      <c r="A10" s="5" t="s">
        <v>480</v>
      </c>
      <c r="B10" s="5" t="s">
        <v>481</v>
      </c>
      <c r="C10" s="5" t="n">
        <f aca="false">COUNTIF('User stories'!$G:$G,"*"&amp;A10&amp;"*")</f>
        <v>14</v>
      </c>
      <c r="D10" s="5" t="n">
        <f aca="false">COUNTIF('Non-functional requirements'!$D:$D,"*"&amp;A10&amp;"*")</f>
        <v>1</v>
      </c>
      <c r="E10" s="5" t="n">
        <f aca="false">COUNTIF(Stakeholders!$F:$F,"*"&amp;A10&amp;"*")</f>
        <v>2</v>
      </c>
    </row>
    <row r="11" customFormat="false" ht="15" hidden="false" customHeight="true" outlineLevel="0" collapsed="false">
      <c r="A11" s="5" t="s">
        <v>482</v>
      </c>
      <c r="B11" s="5" t="s">
        <v>483</v>
      </c>
      <c r="C11" s="5" t="n">
        <f aca="false">COUNTIF('User stories'!$G:$G,"*"&amp;A11&amp;"*")</f>
        <v>6</v>
      </c>
      <c r="D11" s="5" t="n">
        <f aca="false">COUNTIF('Non-functional requirements'!$D:$D,"*"&amp;A11&amp;"*")</f>
        <v>5</v>
      </c>
      <c r="E11" s="5" t="n">
        <f aca="false">COUNTIF(Stakeholders!$F:$F,"*"&amp;A11&amp;"*")</f>
        <v>1</v>
      </c>
    </row>
    <row r="12" customFormat="false" ht="15" hidden="false" customHeight="true" outlineLevel="0" collapsed="false">
      <c r="A12" s="5" t="s">
        <v>484</v>
      </c>
      <c r="B12" s="5" t="s">
        <v>485</v>
      </c>
      <c r="C12" s="5" t="n">
        <f aca="false">COUNTIF('User stories'!$G:$G,"*"&amp;A12&amp;"*")</f>
        <v>0</v>
      </c>
      <c r="D12" s="5" t="n">
        <f aca="false">COUNTIF('Non-functional requirements'!$D:$D,"*"&amp;A12&amp;"*")</f>
        <v>1</v>
      </c>
      <c r="E12" s="5" t="n">
        <f aca="false">COUNTIF(Stakeholders!$F:$F,"*"&amp;A12&amp;"*")</f>
        <v>0</v>
      </c>
    </row>
    <row r="13" customFormat="false" ht="15" hidden="false" customHeight="true" outlineLevel="0" collapsed="false">
      <c r="A13" s="5" t="s">
        <v>486</v>
      </c>
      <c r="B13" s="5" t="s">
        <v>485</v>
      </c>
      <c r="C13" s="5" t="n">
        <f aca="false">COUNTIF('User stories'!$G:$G,"*"&amp;A13&amp;"*")</f>
        <v>0</v>
      </c>
      <c r="D13" s="5" t="n">
        <f aca="false">COUNTIF('Non-functional requirements'!$D:$D,"*"&amp;A13&amp;"*")</f>
        <v>2</v>
      </c>
      <c r="E13" s="5" t="n">
        <f aca="false">COUNTIF(Stakeholders!$F:$F,"*"&amp;A13&amp;"*")</f>
        <v>0</v>
      </c>
    </row>
    <row r="14" customFormat="false" ht="15" hidden="false" customHeight="true" outlineLevel="0" collapsed="false">
      <c r="A14" s="5" t="s">
        <v>487</v>
      </c>
      <c r="B14" s="5" t="s">
        <v>485</v>
      </c>
      <c r="C14" s="5" t="n">
        <f aca="false">COUNTIF('User stories'!$G:$G,"*"&amp;A14&amp;"*")</f>
        <v>0</v>
      </c>
      <c r="D14" s="5" t="n">
        <f aca="false">COUNTIF('Non-functional requirements'!$D:$D,"*"&amp;A14&amp;"*")</f>
        <v>5</v>
      </c>
      <c r="E14" s="5" t="n">
        <f aca="false">COUNTIF(Stakeholders!$F:$F,"*"&amp;A14&amp;"*")</f>
        <v>0</v>
      </c>
    </row>
    <row r="15" customFormat="false" ht="15" hidden="false" customHeight="true" outlineLevel="0" collapsed="false">
      <c r="A15" s="6" t="s">
        <v>488</v>
      </c>
      <c r="B15" s="5"/>
      <c r="C15" s="5" t="n">
        <f aca="false">COUNTA('User stories'!$A:$A)-1</f>
        <v>39</v>
      </c>
      <c r="D15" s="5" t="n">
        <f aca="false">COUNTA('Non-functional requirements'!$A:$A)-1</f>
        <v>22</v>
      </c>
      <c r="E15" s="5"/>
    </row>
    <row r="16" customFormat="false" ht="15" hidden="false" customHeight="true" outlineLevel="0" collapsed="false">
      <c r="A16" s="5"/>
      <c r="B16" s="5"/>
      <c r="C16" s="5"/>
      <c r="D16" s="5"/>
      <c r="E16" s="5"/>
    </row>
    <row r="17" customFormat="false" ht="15" hidden="false" customHeight="true" outlineLevel="0" collapsed="false">
      <c r="A17" s="6" t="s">
        <v>53</v>
      </c>
      <c r="B17" s="5" t="s">
        <v>489</v>
      </c>
      <c r="C17" s="5"/>
      <c r="D17" s="5"/>
      <c r="E17" s="5"/>
    </row>
    <row r="18" customFormat="false" ht="15" hidden="false" customHeight="true" outlineLevel="0" collapsed="false">
      <c r="A18" s="5" t="s">
        <v>61</v>
      </c>
      <c r="B18" s="5" t="n">
        <f aca="false">COUNTIF('User stories'!$E:$E,"Must")</f>
        <v>21</v>
      </c>
      <c r="C18" s="5"/>
      <c r="D18" s="5"/>
      <c r="E18" s="5"/>
    </row>
    <row r="19" customFormat="false" ht="15" hidden="false" customHeight="true" outlineLevel="0" collapsed="false">
      <c r="A19" s="5" t="s">
        <v>80</v>
      </c>
      <c r="B19" s="5" t="n">
        <f aca="false">COUNTIF('User stories'!$E:$E,"Should")</f>
        <v>12</v>
      </c>
      <c r="C19" s="5"/>
      <c r="D19" s="5"/>
      <c r="E19" s="5"/>
    </row>
    <row r="20" customFormat="false" ht="15" hidden="false" customHeight="true" outlineLevel="0" collapsed="false">
      <c r="A20" s="5" t="s">
        <v>99</v>
      </c>
      <c r="B20" s="5" t="n">
        <f aca="false">COUNTIF('User stories'!$E:$E,"Could")</f>
        <v>5</v>
      </c>
      <c r="C20" s="5"/>
      <c r="D20" s="5"/>
      <c r="E20" s="5"/>
    </row>
    <row r="21" customFormat="false" ht="15" hidden="false" customHeight="true" outlineLevel="0" collapsed="false">
      <c r="A21" s="5" t="s">
        <v>270</v>
      </c>
      <c r="B21" s="5" t="n">
        <f aca="false">COUNTIF('User stories'!$E:$E,"Won't")</f>
        <v>1</v>
      </c>
      <c r="C21" s="5"/>
      <c r="D21" s="5"/>
      <c r="E21" s="5"/>
    </row>
    <row r="22" customFormat="false" ht="15" hidden="false" customHeight="true" outlineLevel="0" collapsed="false">
      <c r="A22" s="5"/>
      <c r="B22" s="5"/>
      <c r="C22" s="5"/>
      <c r="D22" s="5"/>
      <c r="E22" s="5"/>
    </row>
    <row r="23" customFormat="false" ht="15" hidden="false" customHeight="true" outlineLevel="0" collapsed="false">
      <c r="A23" s="6" t="s">
        <v>490</v>
      </c>
      <c r="B23" s="5"/>
      <c r="C23" s="5"/>
      <c r="D23" s="5"/>
      <c r="E23" s="5"/>
    </row>
    <row r="24" customFormat="false" ht="15" hidden="false" customHeight="true" outlineLevel="0" collapsed="false">
      <c r="A24" s="5" t="s">
        <v>491</v>
      </c>
      <c r="B24" s="5"/>
      <c r="C24" s="5"/>
      <c r="D24" s="5"/>
      <c r="E24" s="5"/>
    </row>
    <row r="25" customFormat="false" ht="15" hidden="false" customHeight="true" outlineLevel="0" collapsed="false">
      <c r="A25" s="5" t="s">
        <v>492</v>
      </c>
      <c r="B25" s="5"/>
      <c r="C25" s="5"/>
      <c r="D25" s="5"/>
      <c r="E25" s="5"/>
    </row>
    <row r="26" customFormat="false" ht="15" hidden="false" customHeight="false" outlineLevel="0" collapsed="false">
      <c r="A26" s="5" t="s">
        <v>493</v>
      </c>
      <c r="B26" s="5"/>
      <c r="C26" s="5"/>
      <c r="D26" s="5"/>
      <c r="E26" s="5"/>
    </row>
    <row r="27" customFormat="false" ht="15" hidden="false" customHeight="false" outlineLevel="0" collapsed="false">
      <c r="A27" s="5" t="s">
        <v>494</v>
      </c>
      <c r="B27" s="5"/>
      <c r="C27" s="5"/>
      <c r="D27" s="5"/>
      <c r="E27" s="5"/>
    </row>
    <row r="28" customFormat="false" ht="15" hidden="false" customHeight="false" outlineLevel="0" collapsed="false">
      <c r="A28" s="5" t="s">
        <v>495</v>
      </c>
      <c r="B28" s="5"/>
      <c r="C28" s="5"/>
      <c r="D28" s="5"/>
      <c r="E28" s="5"/>
    </row>
    <row r="29" customFormat="false" ht="15" hidden="false" customHeight="false" outlineLevel="0" collapsed="false">
      <c r="A29" s="7" t="s">
        <v>496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2026-10-20T10:30:40Z</dcterms:created>
  <dc:creator>openpyxl</dc:creator>
  <dc:description/>
  <dc:language>en-US</dc:language>
  <cp:lastModifiedBy/>
  <dcterms:modified xsi:type="dcterms:W3CDTF">2026-10-20T12:35:49Z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